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ma\Desktop\"/>
    </mc:Choice>
  </mc:AlternateContent>
  <xr:revisionPtr revIDLastSave="0" documentId="13_ncr:8001_{C6151D26-8D42-4CD5-B5DF-82093BF95D1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6" i="1" l="1"/>
  <c r="L66" i="1"/>
</calcChain>
</file>

<file path=xl/sharedStrings.xml><?xml version="1.0" encoding="utf-8"?>
<sst xmlns="http://schemas.openxmlformats.org/spreadsheetml/2006/main" count="921" uniqueCount="514">
  <si>
    <t>SSN</t>
  </si>
  <si>
    <t>First Name</t>
  </si>
  <si>
    <t>Middle Name</t>
  </si>
  <si>
    <t>Last Name</t>
  </si>
  <si>
    <t>Status Code</t>
  </si>
  <si>
    <t>Status Date</t>
  </si>
  <si>
    <t>Class Code</t>
  </si>
  <si>
    <t>Class Code Date</t>
  </si>
  <si>
    <t>Pad</t>
  </si>
  <si>
    <t>Gross Taxable Compensation</t>
  </si>
  <si>
    <t>Excluded Compensation</t>
  </si>
  <si>
    <t>Deferral</t>
  </si>
  <si>
    <t>Roth Deferral</t>
  </si>
  <si>
    <t>Employer Contribution</t>
  </si>
  <si>
    <t>Credited Hours of Service</t>
  </si>
  <si>
    <t>Year To Date Gross Taxable Comp</t>
  </si>
  <si>
    <t>Year to Date Excluded Compensati</t>
  </si>
  <si>
    <t>Year to Date Deferral $</t>
  </si>
  <si>
    <t>Year to Date Deferral Roth $</t>
  </si>
  <si>
    <t>Year to Date Employer Contributi</t>
  </si>
  <si>
    <t xml:space="preserve">Year to Date Credited Hours </t>
  </si>
  <si>
    <t>Date of Birth</t>
  </si>
  <si>
    <t>Date of Hire</t>
  </si>
  <si>
    <t>Date of Term</t>
  </si>
  <si>
    <t>Contact Telephone Number</t>
  </si>
  <si>
    <t>Email Address</t>
  </si>
  <si>
    <t>Address 1</t>
  </si>
  <si>
    <t>Address 2</t>
  </si>
  <si>
    <t>City</t>
  </si>
  <si>
    <t>State</t>
  </si>
  <si>
    <t>Zip Code</t>
  </si>
  <si>
    <t>Rehire Date</t>
  </si>
  <si>
    <t>166-70-3049</t>
  </si>
  <si>
    <t>Andrew</t>
  </si>
  <si>
    <t>J</t>
  </si>
  <si>
    <t>Whinnery</t>
  </si>
  <si>
    <t>A</t>
  </si>
  <si>
    <t>F</t>
  </si>
  <si>
    <t/>
  </si>
  <si>
    <t>awhinnery@jswallacegroup.com</t>
  </si>
  <si>
    <t>2267 Blue Ball Road</t>
  </si>
  <si>
    <t>Elkton</t>
  </si>
  <si>
    <t>MD</t>
  </si>
  <si>
    <t>21921</t>
  </si>
  <si>
    <t>219-78-3826</t>
  </si>
  <si>
    <t>Robert</t>
  </si>
  <si>
    <t>Clocker</t>
  </si>
  <si>
    <t>410-882-1892</t>
  </si>
  <si>
    <t>rclocker@jswallacegroup.com</t>
  </si>
  <si>
    <t>2909 Second Avenue</t>
  </si>
  <si>
    <t>Baltimore</t>
  </si>
  <si>
    <t>21234</t>
  </si>
  <si>
    <t>220-47-8462</t>
  </si>
  <si>
    <t>Nicholas</t>
  </si>
  <si>
    <t>Netro</t>
  </si>
  <si>
    <t>443-813-1981</t>
  </si>
  <si>
    <t>nnetro@jswallacegroup.com</t>
  </si>
  <si>
    <t>2308 Bauernschmidt Drive</t>
  </si>
  <si>
    <t>Essex</t>
  </si>
  <si>
    <t>21221</t>
  </si>
  <si>
    <t>213-17-6311</t>
  </si>
  <si>
    <t>Randy</t>
  </si>
  <si>
    <t>Allen</t>
  </si>
  <si>
    <t>Gilbert</t>
  </si>
  <si>
    <t>443-596-7682</t>
  </si>
  <si>
    <t>rgilbert@jswallacegroup.com</t>
  </si>
  <si>
    <t>1761 Inverness Ave</t>
  </si>
  <si>
    <t>Dundalk</t>
  </si>
  <si>
    <t>21222</t>
  </si>
  <si>
    <t>161-68-3398</t>
  </si>
  <si>
    <t>Eric</t>
  </si>
  <si>
    <t>Wallace</t>
  </si>
  <si>
    <t>ewallace@jswallacegroup.com</t>
  </si>
  <si>
    <t>1630 River Road</t>
  </si>
  <si>
    <t>Upper Black Eddy</t>
  </si>
  <si>
    <t>PA</t>
  </si>
  <si>
    <t>18972</t>
  </si>
  <si>
    <t>218-04-9476</t>
  </si>
  <si>
    <t>Jason</t>
  </si>
  <si>
    <t>Lee</t>
  </si>
  <si>
    <t>Bailey</t>
  </si>
  <si>
    <t>443-943-7501</t>
  </si>
  <si>
    <t>jbailey@jswallacegroup.com</t>
  </si>
  <si>
    <t>709 Maryland Avenue</t>
  </si>
  <si>
    <t>215-53-8113</t>
  </si>
  <si>
    <t>Colin</t>
  </si>
  <si>
    <t>S</t>
  </si>
  <si>
    <t>Peters</t>
  </si>
  <si>
    <t>T</t>
  </si>
  <si>
    <t>peterscolin41@yahoo.com</t>
  </si>
  <si>
    <t>8505 Kavanagh Rd</t>
  </si>
  <si>
    <t>217-45-2714</t>
  </si>
  <si>
    <t>Logan</t>
  </si>
  <si>
    <t>V</t>
  </si>
  <si>
    <t>Reno</t>
  </si>
  <si>
    <t>lreno@jswallacegroup.com</t>
  </si>
  <si>
    <t>1218 Sugarwood Circle</t>
  </si>
  <si>
    <t>Apt. D</t>
  </si>
  <si>
    <t>218-35-8822</t>
  </si>
  <si>
    <t>Berman</t>
  </si>
  <si>
    <t>C</t>
  </si>
  <si>
    <t>Maddy</t>
  </si>
  <si>
    <t>410-458-4315</t>
  </si>
  <si>
    <t>bmaddy@jswallacegroup.com</t>
  </si>
  <si>
    <t>165 West Meadow Road</t>
  </si>
  <si>
    <t>21225</t>
  </si>
  <si>
    <t>522-89-3755</t>
  </si>
  <si>
    <t>Nellenback</t>
  </si>
  <si>
    <t>andrew.nellenback@yahoo.com</t>
  </si>
  <si>
    <t>305 East Maple Road</t>
  </si>
  <si>
    <t>Linthicum Heights</t>
  </si>
  <si>
    <t>21090</t>
  </si>
  <si>
    <t>213-86-1256</t>
  </si>
  <si>
    <t>Timothy</t>
  </si>
  <si>
    <t>L</t>
  </si>
  <si>
    <t>Smith</t>
  </si>
  <si>
    <t>tsmith@jswallacegroup.com</t>
  </si>
  <si>
    <t>3500 Woodring Avenue</t>
  </si>
  <si>
    <t>Parkville</t>
  </si>
  <si>
    <t>274-80-9239</t>
  </si>
  <si>
    <t>Lewis</t>
  </si>
  <si>
    <t>McKelle</t>
  </si>
  <si>
    <t>Crumb</t>
  </si>
  <si>
    <t>443-306-0960</t>
  </si>
  <si>
    <t>lcrumb@jswallacegroup.com</t>
  </si>
  <si>
    <t>1406 Gesna Drive</t>
  </si>
  <si>
    <t>HANOVER</t>
  </si>
  <si>
    <t>21076</t>
  </si>
  <si>
    <t>632-24-3329</t>
  </si>
  <si>
    <t>Michael</t>
  </si>
  <si>
    <t>H</t>
  </si>
  <si>
    <t>Suskin</t>
  </si>
  <si>
    <t>msuskin@jswallacegroup.com</t>
  </si>
  <si>
    <t>800 Swift Court</t>
  </si>
  <si>
    <t>Towson</t>
  </si>
  <si>
    <t>21286</t>
  </si>
  <si>
    <t>216-88-8304</t>
  </si>
  <si>
    <t>William</t>
  </si>
  <si>
    <t>E</t>
  </si>
  <si>
    <t>Tabor</t>
  </si>
  <si>
    <t>717-515-9940</t>
  </si>
  <si>
    <t>wtabor@jswallacegroup.com</t>
  </si>
  <si>
    <t>Solitude @ White Creek</t>
  </si>
  <si>
    <t>30573 Peaceful Lane</t>
  </si>
  <si>
    <t>Ocean View</t>
  </si>
  <si>
    <t>DE</t>
  </si>
  <si>
    <t>19970</t>
  </si>
  <si>
    <t>220-13-1821</t>
  </si>
  <si>
    <t xml:space="preserve">James </t>
  </si>
  <si>
    <t>Sidney</t>
  </si>
  <si>
    <t>jallen@jswallacegroup.com</t>
  </si>
  <si>
    <t>816 Glade Court</t>
  </si>
  <si>
    <t>BROOKLYN</t>
  </si>
  <si>
    <t>216-45-9357</t>
  </si>
  <si>
    <t>Garrett</t>
  </si>
  <si>
    <t>M</t>
  </si>
  <si>
    <t>Mohler</t>
  </si>
  <si>
    <t>gmohler@jswallacegroup.com</t>
  </si>
  <si>
    <t>2497 Amber Orchard Court East</t>
  </si>
  <si>
    <t>Unit 204</t>
  </si>
  <si>
    <t>Odenton</t>
  </si>
  <si>
    <t>21113</t>
  </si>
  <si>
    <t>161-70-6685</t>
  </si>
  <si>
    <t>Ian</t>
  </si>
  <si>
    <t>Fisher</t>
  </si>
  <si>
    <t>724-388-7264</t>
  </si>
  <si>
    <t>ifisher@jswallacegroup.com</t>
  </si>
  <si>
    <t>3639 Fox Chase Drive</t>
  </si>
  <si>
    <t>Dover</t>
  </si>
  <si>
    <t>17315</t>
  </si>
  <si>
    <t>Matthew</t>
  </si>
  <si>
    <t>172-62-3497</t>
  </si>
  <si>
    <t>Sean</t>
  </si>
  <si>
    <t>Wike</t>
  </si>
  <si>
    <t>swike@jswallacegroup.com</t>
  </si>
  <si>
    <t>1600 Graystone Road</t>
  </si>
  <si>
    <t>Manheim</t>
  </si>
  <si>
    <t>17545</t>
  </si>
  <si>
    <t>170-64-1421</t>
  </si>
  <si>
    <t>Nelson</t>
  </si>
  <si>
    <t>Martinez</t>
  </si>
  <si>
    <t>717-984-1109</t>
  </si>
  <si>
    <t>nmartinez@jswallacegroup.com</t>
  </si>
  <si>
    <t xml:space="preserve">436 High Street </t>
  </si>
  <si>
    <t>Lancaster</t>
  </si>
  <si>
    <t>17603</t>
  </si>
  <si>
    <t>208-60-7766</t>
  </si>
  <si>
    <t>Tony</t>
  </si>
  <si>
    <t>Rodriguez</t>
  </si>
  <si>
    <t>trodriguez@jswallacegroup.com</t>
  </si>
  <si>
    <t xml:space="preserve">312 Elmshire Drive </t>
  </si>
  <si>
    <t>215-74-7133</t>
  </si>
  <si>
    <t>Tracy</t>
  </si>
  <si>
    <t>Wingler</t>
  </si>
  <si>
    <t>supersarge27@yahoo.com</t>
  </si>
  <si>
    <t>11 Laura Court</t>
  </si>
  <si>
    <t>Quarryville</t>
  </si>
  <si>
    <t>17566</t>
  </si>
  <si>
    <t>189-70-3928</t>
  </si>
  <si>
    <t>Green</t>
  </si>
  <si>
    <t>717-413-6448</t>
  </si>
  <si>
    <t>mgreen@jswallacegroup.com</t>
  </si>
  <si>
    <t>957 W Main Street</t>
  </si>
  <si>
    <t>Ephrata</t>
  </si>
  <si>
    <t>17522</t>
  </si>
  <si>
    <t>166-54-5458</t>
  </si>
  <si>
    <t>John</t>
  </si>
  <si>
    <t>R</t>
  </si>
  <si>
    <t>Schell</t>
  </si>
  <si>
    <t>610-698-3682</t>
  </si>
  <si>
    <t>jschell@jswallacegroup.com</t>
  </si>
  <si>
    <t>24 Maywood Avenue</t>
  </si>
  <si>
    <t>Sinking Spring</t>
  </si>
  <si>
    <t>19608</t>
  </si>
  <si>
    <t>196-74-1544</t>
  </si>
  <si>
    <t>Daniel</t>
  </si>
  <si>
    <t>Weik</t>
  </si>
  <si>
    <t>717-569-8497</t>
  </si>
  <si>
    <t>eweik@jswallacegroup.com</t>
  </si>
  <si>
    <t>1034 Roesser Drive</t>
  </si>
  <si>
    <t>17601</t>
  </si>
  <si>
    <t>193-70-1643</t>
  </si>
  <si>
    <t>Alleman</t>
  </si>
  <si>
    <t>484-721-4451</t>
  </si>
  <si>
    <t>ialleman@jswallacegroup.com</t>
  </si>
  <si>
    <t>422 Main Street</t>
  </si>
  <si>
    <t>Denver</t>
  </si>
  <si>
    <t>17517</t>
  </si>
  <si>
    <t>191-52-1378</t>
  </si>
  <si>
    <t>Steven</t>
  </si>
  <si>
    <t>Koenig</t>
  </si>
  <si>
    <t>610-775-9753</t>
  </si>
  <si>
    <t>skoenig@jswallacegroup.com</t>
  </si>
  <si>
    <t>515 N BROBST ST</t>
  </si>
  <si>
    <t>Shillington</t>
  </si>
  <si>
    <t>19607</t>
  </si>
  <si>
    <t>209-76-5974</t>
  </si>
  <si>
    <t>aschell@jswallacegroup.com</t>
  </si>
  <si>
    <t xml:space="preserve">58 E Main Street. </t>
  </si>
  <si>
    <t>P.O. Box 973</t>
  </si>
  <si>
    <t>Adamstown</t>
  </si>
  <si>
    <t>19501</t>
  </si>
  <si>
    <t>209-74-6649</t>
  </si>
  <si>
    <t>Sweeney</t>
  </si>
  <si>
    <t>717-350-0163</t>
  </si>
  <si>
    <t>nsweeney@jswallacegroup.com</t>
  </si>
  <si>
    <t>27 Kimberly Court</t>
  </si>
  <si>
    <t>Elizabethtown</t>
  </si>
  <si>
    <t>17022</t>
  </si>
  <si>
    <t>180-38-0454</t>
  </si>
  <si>
    <t>Martin</t>
  </si>
  <si>
    <t>717-656-7637</t>
  </si>
  <si>
    <t>mmartin@jswallacegroup.com</t>
  </si>
  <si>
    <t>67 Cypress Drive</t>
  </si>
  <si>
    <t>Leola</t>
  </si>
  <si>
    <t>17540</t>
  </si>
  <si>
    <t>170-66-5186</t>
  </si>
  <si>
    <t>Nicholous</t>
  </si>
  <si>
    <t>W</t>
  </si>
  <si>
    <t>Lehman</t>
  </si>
  <si>
    <t>717-501-8160</t>
  </si>
  <si>
    <t>nlehman@jswallacegroup.com</t>
  </si>
  <si>
    <t>191 Calvary Church Road</t>
  </si>
  <si>
    <t>Wrightsville</t>
  </si>
  <si>
    <t>17368</t>
  </si>
  <si>
    <t>228-65-2938</t>
  </si>
  <si>
    <t>Jacob</t>
  </si>
  <si>
    <t>Payne</t>
  </si>
  <si>
    <t>jpayne@jswallacegroup.com</t>
  </si>
  <si>
    <t>15 LITTLE FIELD DR.</t>
  </si>
  <si>
    <t>Fredericksburg</t>
  </si>
  <si>
    <t>VA</t>
  </si>
  <si>
    <t>22405</t>
  </si>
  <si>
    <t>772-14-4286</t>
  </si>
  <si>
    <t>Eloy</t>
  </si>
  <si>
    <t>U</t>
  </si>
  <si>
    <t>Castro</t>
  </si>
  <si>
    <t>ecastro@jswallacegroup.com</t>
  </si>
  <si>
    <t xml:space="preserve">2600 Indian Drive </t>
  </si>
  <si>
    <t>Apt# 1-D</t>
  </si>
  <si>
    <t>Alexandria</t>
  </si>
  <si>
    <t>22303</t>
  </si>
  <si>
    <t>065-68-2251</t>
  </si>
  <si>
    <t>Carlos</t>
  </si>
  <si>
    <t>Hill</t>
  </si>
  <si>
    <t>chill@jswallacegroup.com</t>
  </si>
  <si>
    <t>4515 Holmes Run Parkway</t>
  </si>
  <si>
    <t>22304</t>
  </si>
  <si>
    <t>225-21-6260</t>
  </si>
  <si>
    <t>James</t>
  </si>
  <si>
    <t>D</t>
  </si>
  <si>
    <t>Walton</t>
  </si>
  <si>
    <t>703-971-0033</t>
  </si>
  <si>
    <t>jwalton@jswallacegroup.com</t>
  </si>
  <si>
    <t>5819 Broadmoor Street</t>
  </si>
  <si>
    <t>22315</t>
  </si>
  <si>
    <t>206-64-6002</t>
  </si>
  <si>
    <t>Antonio</t>
  </si>
  <si>
    <t>Parrish</t>
  </si>
  <si>
    <t>aparrish@jswallacegroup.com</t>
  </si>
  <si>
    <t>4312 South Capital St SE #3</t>
  </si>
  <si>
    <t>Washington</t>
  </si>
  <si>
    <t>DC</t>
  </si>
  <si>
    <t>20032</t>
  </si>
  <si>
    <t>227-83-2473</t>
  </si>
  <si>
    <t>Dean</t>
  </si>
  <si>
    <t>703-971-4240</t>
  </si>
  <si>
    <t>jdwalton@jswallacegroup.com</t>
  </si>
  <si>
    <t>573-13-5796</t>
  </si>
  <si>
    <t>Mark</t>
  </si>
  <si>
    <t>P</t>
  </si>
  <si>
    <t>McGrath</t>
  </si>
  <si>
    <t>mmcgrath@jswallacegroup.com</t>
  </si>
  <si>
    <t>6219 Split Creek Lane</t>
  </si>
  <si>
    <t>22312</t>
  </si>
  <si>
    <t>227-97-6667</t>
  </si>
  <si>
    <t>Ever</t>
  </si>
  <si>
    <t>Alvarez-Lopez</t>
  </si>
  <si>
    <t>ealvarez-lopez@jswallacegroup.com</t>
  </si>
  <si>
    <t>4215 Fairglen Drive</t>
  </si>
  <si>
    <t>22309</t>
  </si>
  <si>
    <t>224-93-9910</t>
  </si>
  <si>
    <t>Jackson</t>
  </si>
  <si>
    <t>Tevalan Fajardo</t>
  </si>
  <si>
    <t>571-375-9658</t>
  </si>
  <si>
    <t>jtevalan@jswallacegroup.com</t>
  </si>
  <si>
    <t>14336 Belleville Avenue</t>
  </si>
  <si>
    <t>Woodbridge</t>
  </si>
  <si>
    <t>22193</t>
  </si>
  <si>
    <t>063-86-0943</t>
  </si>
  <si>
    <t>Seon</t>
  </si>
  <si>
    <t>Fernandes</t>
  </si>
  <si>
    <t>703-585-4177</t>
  </si>
  <si>
    <t>sfernandes@jswallacegroup.com</t>
  </si>
  <si>
    <t>15077 Jarrell Place</t>
  </si>
  <si>
    <t>579-51-5105</t>
  </si>
  <si>
    <t>Richard</t>
  </si>
  <si>
    <t>Malloch</t>
  </si>
  <si>
    <t>703-683-0060</t>
  </si>
  <si>
    <t>rmalloch@jswallacegroup.com</t>
  </si>
  <si>
    <t>10225 Racquet Circle</t>
  </si>
  <si>
    <t>Manassas</t>
  </si>
  <si>
    <t>20110</t>
  </si>
  <si>
    <t>228-85-4168</t>
  </si>
  <si>
    <t>Ryan</t>
  </si>
  <si>
    <t>Selquist</t>
  </si>
  <si>
    <t>540-497-1718</t>
  </si>
  <si>
    <t>rselquist@jswallacegroup.com</t>
  </si>
  <si>
    <t>561 Highland Towne Lane</t>
  </si>
  <si>
    <t>Warrenton</t>
  </si>
  <si>
    <t>20186</t>
  </si>
  <si>
    <t>231-55-1081</t>
  </si>
  <si>
    <t>Corey</t>
  </si>
  <si>
    <t>Williams</t>
  </si>
  <si>
    <t>cwilliams@jswallacegroup.com</t>
  </si>
  <si>
    <t xml:space="preserve">4283 Mazarin Place </t>
  </si>
  <si>
    <t>Apt. 302</t>
  </si>
  <si>
    <t>Fairfax</t>
  </si>
  <si>
    <t>22033</t>
  </si>
  <si>
    <t>231-94-3592</t>
  </si>
  <si>
    <t>Russell</t>
  </si>
  <si>
    <t>Carpenter Jr</t>
  </si>
  <si>
    <t>703-368-3034</t>
  </si>
  <si>
    <t>rcarpenter@jswallacegroup.com</t>
  </si>
  <si>
    <t>7351 Lava Rock Circle #401</t>
  </si>
  <si>
    <t>20111</t>
  </si>
  <si>
    <t>226-21-9977</t>
  </si>
  <si>
    <t>Lutz</t>
  </si>
  <si>
    <t>jlutz@jswallacegroup.com</t>
  </si>
  <si>
    <t>106 Twigg Court</t>
  </si>
  <si>
    <t>Stephens City</t>
  </si>
  <si>
    <t>22655</t>
  </si>
  <si>
    <t>215-19-7278</t>
  </si>
  <si>
    <t>Paul</t>
  </si>
  <si>
    <t>V.</t>
  </si>
  <si>
    <t>Rosner</t>
  </si>
  <si>
    <t>304-886-9642</t>
  </si>
  <si>
    <t>prosner@jswallacegroup.com</t>
  </si>
  <si>
    <t>478 Crosswinds Dr</t>
  </si>
  <si>
    <t>Charles Town</t>
  </si>
  <si>
    <t>WV</t>
  </si>
  <si>
    <t>25414</t>
  </si>
  <si>
    <t>159-72-3701</t>
  </si>
  <si>
    <t>Shanae</t>
  </si>
  <si>
    <t>N</t>
  </si>
  <si>
    <t>Grooms</t>
  </si>
  <si>
    <t>614-806-3282</t>
  </si>
  <si>
    <t>sgrooms@jswallacegroup.com</t>
  </si>
  <si>
    <t>12 Town Square Circle</t>
  </si>
  <si>
    <t>Apt 304</t>
  </si>
  <si>
    <t>Stafford</t>
  </si>
  <si>
    <t>22554</t>
  </si>
  <si>
    <t>227-89-9260</t>
  </si>
  <si>
    <t>Luke</t>
  </si>
  <si>
    <t>Peshoff</t>
  </si>
  <si>
    <t>703-327-1390</t>
  </si>
  <si>
    <t>lpeshoff@jswallacegroup.com</t>
  </si>
  <si>
    <t>40630 Lenah Run Circle</t>
  </si>
  <si>
    <t>Aldie</t>
  </si>
  <si>
    <t>20105</t>
  </si>
  <si>
    <t>223-13-1929</t>
  </si>
  <si>
    <t>Kenneth</t>
  </si>
  <si>
    <t xml:space="preserve">Settle </t>
  </si>
  <si>
    <t>703-420-9394</t>
  </si>
  <si>
    <t>ksettle@jswallacegroup.com</t>
  </si>
  <si>
    <t>8238 Humphrey Lane</t>
  </si>
  <si>
    <t>20109</t>
  </si>
  <si>
    <t>245-77-9901</t>
  </si>
  <si>
    <t>Christopher</t>
  </si>
  <si>
    <t>Walker</t>
  </si>
  <si>
    <t>540-642-2551</t>
  </si>
  <si>
    <t>cwalker@jswallacegroup.com</t>
  </si>
  <si>
    <t>3 Alex Court</t>
  </si>
  <si>
    <t>22406</t>
  </si>
  <si>
    <t>579-33-7834</t>
  </si>
  <si>
    <t>571-326-7177</t>
  </si>
  <si>
    <t>mwalker@jswallacegroup.com</t>
  </si>
  <si>
    <t>40779 Yarrow Grove Place</t>
  </si>
  <si>
    <t>ALDIE</t>
  </si>
  <si>
    <t>212-31-4300</t>
  </si>
  <si>
    <t>Jonathan</t>
  </si>
  <si>
    <t>Myers</t>
  </si>
  <si>
    <t>301-524-3510</t>
  </si>
  <si>
    <t>jmyers@jswallacegroup.com</t>
  </si>
  <si>
    <t>23 Howard Street</t>
  </si>
  <si>
    <t>Apt 8</t>
  </si>
  <si>
    <t>Thurmont</t>
  </si>
  <si>
    <t>21788</t>
  </si>
  <si>
    <t>081-70-4372</t>
  </si>
  <si>
    <t>Paola</t>
  </si>
  <si>
    <t>Garcia</t>
  </si>
  <si>
    <t>pgarcia@jswallacegroup.com</t>
  </si>
  <si>
    <t>1778 Carriage Way</t>
  </si>
  <si>
    <t>Frederick</t>
  </si>
  <si>
    <t>21702</t>
  </si>
  <si>
    <t>225-49-4764</t>
  </si>
  <si>
    <t>Thomas</t>
  </si>
  <si>
    <t>cthomas@jswallacegroup.com</t>
  </si>
  <si>
    <t>1602 Bradley Avenue</t>
  </si>
  <si>
    <t>Rockville</t>
  </si>
  <si>
    <t>20851</t>
  </si>
  <si>
    <t>214-06-8004</t>
  </si>
  <si>
    <t>Lynda</t>
  </si>
  <si>
    <t>Reynolds</t>
  </si>
  <si>
    <t>410-409-3017</t>
  </si>
  <si>
    <t>lreynolds@jswallacegroup.com</t>
  </si>
  <si>
    <t>711 West 40TH Street</t>
  </si>
  <si>
    <t>Ste 153-104</t>
  </si>
  <si>
    <t>21211</t>
  </si>
  <si>
    <t>550-47-7977</t>
  </si>
  <si>
    <t>Bergen</t>
  </si>
  <si>
    <t>dbergen@jswallacegroup.com</t>
  </si>
  <si>
    <t>17 Honey Brook Lane</t>
  </si>
  <si>
    <t>Gaithersburg</t>
  </si>
  <si>
    <t>20878</t>
  </si>
  <si>
    <t>224-17-8249</t>
  </si>
  <si>
    <t>Antione</t>
  </si>
  <si>
    <t>Cheeks</t>
  </si>
  <si>
    <t>301-956-0684</t>
  </si>
  <si>
    <t>acheeks@jswallacegroup.com</t>
  </si>
  <si>
    <t>22745 Newcut Road</t>
  </si>
  <si>
    <t>Clarksburg</t>
  </si>
  <si>
    <t>20871</t>
  </si>
  <si>
    <t>228-75-7373</t>
  </si>
  <si>
    <t>Reyneris</t>
  </si>
  <si>
    <t>Granados</t>
  </si>
  <si>
    <t>240-578-1196</t>
  </si>
  <si>
    <t>rgranados@jswallacegroup.com</t>
  </si>
  <si>
    <t>1595 Abbey Court</t>
  </si>
  <si>
    <t>21701</t>
  </si>
  <si>
    <t>220-72-9383</t>
  </si>
  <si>
    <t>Hoes</t>
  </si>
  <si>
    <t>240-370-4881</t>
  </si>
  <si>
    <t>rhoes@jswallacegroup.com</t>
  </si>
  <si>
    <t>9300 Willow Creek Drive</t>
  </si>
  <si>
    <t>Apt. B</t>
  </si>
  <si>
    <t>Montgomery Village</t>
  </si>
  <si>
    <t>20886</t>
  </si>
  <si>
    <t>213-53-5277</t>
  </si>
  <si>
    <t>Tishman</t>
  </si>
  <si>
    <t>301-540-4417</t>
  </si>
  <si>
    <t>jtishman@jswallacegroup.com</t>
  </si>
  <si>
    <t>14024 Briarwick Street</t>
  </si>
  <si>
    <t>Germantown</t>
  </si>
  <si>
    <t>20874</t>
  </si>
  <si>
    <t>636-22-2051</t>
  </si>
  <si>
    <t>David</t>
  </si>
  <si>
    <t>B</t>
  </si>
  <si>
    <t>Monteaux</t>
  </si>
  <si>
    <t>bmonteaux@jswallacegroup.com</t>
  </si>
  <si>
    <t>3 Snow Meadow Lane</t>
  </si>
  <si>
    <t>118-66-5665</t>
  </si>
  <si>
    <t>Diate</t>
  </si>
  <si>
    <t>rdiate@jswallacegroup.com</t>
  </si>
  <si>
    <t xml:space="preserve">15327 Linville Creek Drive </t>
  </si>
  <si>
    <t>Haymarket</t>
  </si>
  <si>
    <t>20169</t>
  </si>
  <si>
    <t>223-64-1982</t>
  </si>
  <si>
    <t>Jeffrey</t>
  </si>
  <si>
    <t>Kephart</t>
  </si>
  <si>
    <t>703-629-4472</t>
  </si>
  <si>
    <t>Jkephart@jswallacegroup.com</t>
  </si>
  <si>
    <t>3159 Nealon Drive</t>
  </si>
  <si>
    <t>Falls Church</t>
  </si>
  <si>
    <t>22042</t>
  </si>
  <si>
    <t>110-80-0833</t>
  </si>
  <si>
    <t>Xyuir</t>
  </si>
  <si>
    <t>Wilkins</t>
  </si>
  <si>
    <t>xwilkins@jswallacegroup.com</t>
  </si>
  <si>
    <t xml:space="preserve">2410 Campus Way North </t>
  </si>
  <si>
    <t>Bowie</t>
  </si>
  <si>
    <t>20721</t>
  </si>
  <si>
    <t>REPORT TOTAL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</si>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</sst>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164" fontId="3" fillId="0" borderId="0" xfId="0" applyNumberFormat="1" applyFont="1" applyFill="1" applyBorder="1" applyAlignment="1">
      <alignment horizontal="center" vertical="top" wrapText="1" readingOrder="1"/>
    </xf>
    <xf numFmtId="165" fontId="3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165" fontId="2" fillId="0" borderId="1" xfId="0" applyNumberFormat="1" applyFont="1" applyFill="1" applyBorder="1" applyAlignment="1">
      <alignment horizontal="right" vertical="center" wrapText="1" readingOrder="1"/>
    </xf>
    <xf numFmtId="165" fontId="2" fillId="0" borderId="1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"/>
  <sheetViews>
    <sheetView showGridLines="0" tabSelected="1" topLeftCell="A30" workbookViewId="0">
      <selection activeCell="G55" sqref="G55"/>
    </sheetView>
  </sheetViews>
  <sheetFormatPr defaultRowHeight="14.5"/>
  <cols>
    <col min="1" max="5" width="13.6328125" customWidth="1"/>
    <col min="6" max="6" width="8.90625" customWidth="1"/>
    <col min="7" max="9" width="13.6328125" customWidth="1"/>
    <col min="10" max="21" width="11.6328125" customWidth="1"/>
    <col min="22" max="24" width="8.90625" customWidth="1"/>
    <col min="25" max="25" width="13.6328125" customWidth="1"/>
    <col min="26" max="29" width="27.453125" customWidth="1"/>
    <col min="30" max="31" width="13.6328125" customWidth="1"/>
    <col min="32" max="32" width="8.90625" customWidth="1"/>
    <col min="33" max="33" width="0" hidden="1" customWidth="1"/>
  </cols>
  <sheetData>
    <row r="1" spans="1:32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5">
        <v>42569</v>
      </c>
      <c r="G2" s="4" t="s">
        <v>37</v>
      </c>
      <c r="H2" s="4" t="s">
        <v>38</v>
      </c>
      <c r="I2" s="4" t="s">
        <v>38</v>
      </c>
      <c r="J2" s="6">
        <v>2500</v>
      </c>
      <c r="K2" s="6">
        <v>0</v>
      </c>
      <c r="L2" s="6">
        <v>75</v>
      </c>
      <c r="M2" s="6">
        <v>0</v>
      </c>
      <c r="N2" s="6">
        <v>75</v>
      </c>
      <c r="O2" s="6">
        <v>0</v>
      </c>
      <c r="P2" s="6">
        <v>65822.149999999994</v>
      </c>
      <c r="Q2" s="6">
        <v>0</v>
      </c>
      <c r="R2" s="6">
        <v>1974.67</v>
      </c>
      <c r="S2" s="6">
        <v>0</v>
      </c>
      <c r="T2" s="6">
        <v>1974.67</v>
      </c>
      <c r="U2" s="6">
        <v>916</v>
      </c>
      <c r="V2" s="5">
        <v>31712</v>
      </c>
      <c r="W2" s="5">
        <v>42569</v>
      </c>
      <c r="X2" s="7"/>
      <c r="Y2" s="4"/>
      <c r="Z2" s="4" t="s">
        <v>39</v>
      </c>
      <c r="AA2" s="4" t="s">
        <v>40</v>
      </c>
      <c r="AB2" s="4"/>
      <c r="AC2" s="4" t="s">
        <v>41</v>
      </c>
      <c r="AD2" s="4" t="s">
        <v>42</v>
      </c>
      <c r="AE2" s="4" t="s">
        <v>43</v>
      </c>
      <c r="AF2" s="7"/>
    </row>
    <row r="3" spans="1:32">
      <c r="A3" s="4" t="s">
        <v>44</v>
      </c>
      <c r="B3" s="4" t="s">
        <v>45</v>
      </c>
      <c r="C3" s="4" t="s">
        <v>36</v>
      </c>
      <c r="D3" s="4" t="s">
        <v>46</v>
      </c>
      <c r="E3" s="4" t="s">
        <v>36</v>
      </c>
      <c r="F3" s="5">
        <v>44033</v>
      </c>
      <c r="G3" s="4" t="s">
        <v>37</v>
      </c>
      <c r="H3" s="4" t="s">
        <v>38</v>
      </c>
      <c r="I3" s="4" t="s">
        <v>38</v>
      </c>
      <c r="J3" s="6">
        <v>1689.12</v>
      </c>
      <c r="K3" s="6">
        <v>0</v>
      </c>
      <c r="L3" s="6">
        <v>513.16</v>
      </c>
      <c r="M3" s="6">
        <v>0</v>
      </c>
      <c r="N3" s="6">
        <v>50.67</v>
      </c>
      <c r="O3" s="6">
        <v>0</v>
      </c>
      <c r="P3" s="6">
        <v>26608.27</v>
      </c>
      <c r="Q3" s="6">
        <v>0</v>
      </c>
      <c r="R3" s="6">
        <v>8723.7199999999993</v>
      </c>
      <c r="S3" s="6">
        <v>0</v>
      </c>
      <c r="T3" s="6">
        <v>798.25</v>
      </c>
      <c r="U3" s="6">
        <v>919</v>
      </c>
      <c r="V3" s="5">
        <v>22105</v>
      </c>
      <c r="W3" s="5">
        <v>44033</v>
      </c>
      <c r="X3" s="7"/>
      <c r="Y3" s="4" t="s">
        <v>47</v>
      </c>
      <c r="Z3" s="4" t="s">
        <v>48</v>
      </c>
      <c r="AA3" s="4" t="s">
        <v>49</v>
      </c>
      <c r="AB3" s="4"/>
      <c r="AC3" s="4" t="s">
        <v>50</v>
      </c>
      <c r="AD3" s="4" t="s">
        <v>42</v>
      </c>
      <c r="AE3" s="4" t="s">
        <v>51</v>
      </c>
      <c r="AF3" s="7"/>
    </row>
    <row r="4" spans="1:32">
      <c r="A4" s="4" t="s">
        <v>52</v>
      </c>
      <c r="B4" s="4" t="s">
        <v>53</v>
      </c>
      <c r="C4" s="4" t="s">
        <v>36</v>
      </c>
      <c r="D4" s="4" t="s">
        <v>54</v>
      </c>
      <c r="E4" s="4" t="s">
        <v>36</v>
      </c>
      <c r="F4" s="5">
        <v>43059</v>
      </c>
      <c r="G4" s="4" t="s">
        <v>37</v>
      </c>
      <c r="H4" s="4" t="s">
        <v>38</v>
      </c>
      <c r="I4" s="4" t="s">
        <v>38</v>
      </c>
      <c r="J4" s="6">
        <v>2056.3200000000002</v>
      </c>
      <c r="K4" s="6">
        <v>0</v>
      </c>
      <c r="L4" s="6">
        <v>61.69</v>
      </c>
      <c r="M4" s="6">
        <v>0</v>
      </c>
      <c r="N4" s="6">
        <v>61.69</v>
      </c>
      <c r="O4" s="6">
        <v>0</v>
      </c>
      <c r="P4" s="6">
        <v>26853.7</v>
      </c>
      <c r="Q4" s="6">
        <v>0</v>
      </c>
      <c r="R4" s="6">
        <v>805.6</v>
      </c>
      <c r="S4" s="6">
        <v>0</v>
      </c>
      <c r="T4" s="6">
        <v>805.6</v>
      </c>
      <c r="U4" s="6">
        <v>895.25</v>
      </c>
      <c r="V4" s="5">
        <v>35365</v>
      </c>
      <c r="W4" s="5">
        <v>43059</v>
      </c>
      <c r="X4" s="7"/>
      <c r="Y4" s="4" t="s">
        <v>55</v>
      </c>
      <c r="Z4" s="4" t="s">
        <v>56</v>
      </c>
      <c r="AA4" s="4" t="s">
        <v>57</v>
      </c>
      <c r="AB4" s="4"/>
      <c r="AC4" s="4" t="s">
        <v>58</v>
      </c>
      <c r="AD4" s="4" t="s">
        <v>42</v>
      </c>
      <c r="AE4" s="4" t="s">
        <v>59</v>
      </c>
      <c r="AF4" s="7"/>
    </row>
    <row r="5" spans="1:32">
      <c r="A5" s="4" t="s">
        <v>60</v>
      </c>
      <c r="B5" s="4" t="s">
        <v>61</v>
      </c>
      <c r="C5" s="4" t="s">
        <v>62</v>
      </c>
      <c r="D5" s="4" t="s">
        <v>63</v>
      </c>
      <c r="E5" s="4" t="s">
        <v>36</v>
      </c>
      <c r="F5" s="5">
        <v>44679</v>
      </c>
      <c r="G5" s="4" t="s">
        <v>37</v>
      </c>
      <c r="H5" s="4" t="s">
        <v>38</v>
      </c>
      <c r="I5" s="4" t="s">
        <v>38</v>
      </c>
      <c r="J5" s="6">
        <v>1468.8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4954.05</v>
      </c>
      <c r="Q5" s="6">
        <v>0</v>
      </c>
      <c r="R5" s="6">
        <v>0</v>
      </c>
      <c r="S5" s="6">
        <v>0</v>
      </c>
      <c r="T5" s="6">
        <v>0</v>
      </c>
      <c r="U5" s="6">
        <v>189</v>
      </c>
      <c r="V5" s="5">
        <v>28309</v>
      </c>
      <c r="W5" s="5">
        <v>44679</v>
      </c>
      <c r="X5" s="7"/>
      <c r="Y5" s="4" t="s">
        <v>64</v>
      </c>
      <c r="Z5" s="4" t="s">
        <v>65</v>
      </c>
      <c r="AA5" s="4" t="s">
        <v>66</v>
      </c>
      <c r="AB5" s="4"/>
      <c r="AC5" s="4" t="s">
        <v>67</v>
      </c>
      <c r="AD5" s="4" t="s">
        <v>42</v>
      </c>
      <c r="AE5" s="4" t="s">
        <v>68</v>
      </c>
      <c r="AF5" s="7"/>
    </row>
    <row r="6" spans="1:32">
      <c r="A6" s="4" t="s">
        <v>69</v>
      </c>
      <c r="B6" s="4" t="s">
        <v>70</v>
      </c>
      <c r="C6" s="4" t="s">
        <v>34</v>
      </c>
      <c r="D6" s="4" t="s">
        <v>71</v>
      </c>
      <c r="E6" s="4" t="s">
        <v>36</v>
      </c>
      <c r="F6" s="5">
        <v>40908</v>
      </c>
      <c r="G6" s="4" t="s">
        <v>37</v>
      </c>
      <c r="H6" s="4" t="s">
        <v>38</v>
      </c>
      <c r="I6" s="4" t="s">
        <v>38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67692.34</v>
      </c>
      <c r="Q6" s="6">
        <v>0</v>
      </c>
      <c r="R6" s="6">
        <v>2030.82</v>
      </c>
      <c r="S6" s="6">
        <v>1353.88</v>
      </c>
      <c r="T6" s="6">
        <v>2030.82</v>
      </c>
      <c r="U6" s="6">
        <v>880</v>
      </c>
      <c r="V6" s="5">
        <v>31015</v>
      </c>
      <c r="W6" s="5">
        <v>40908</v>
      </c>
      <c r="X6" s="7"/>
      <c r="Y6" s="4"/>
      <c r="Z6" s="4" t="s">
        <v>72</v>
      </c>
      <c r="AA6" s="4" t="s">
        <v>73</v>
      </c>
      <c r="AB6" s="4"/>
      <c r="AC6" s="4" t="s">
        <v>74</v>
      </c>
      <c r="AD6" s="4" t="s">
        <v>75</v>
      </c>
      <c r="AE6" s="4" t="s">
        <v>76</v>
      </c>
      <c r="AF6" s="7"/>
    </row>
    <row r="7" spans="1:32">
      <c r="A7" s="4" t="s">
        <v>77</v>
      </c>
      <c r="B7" s="4" t="s">
        <v>78</v>
      </c>
      <c r="C7" s="4" t="s">
        <v>79</v>
      </c>
      <c r="D7" s="4" t="s">
        <v>80</v>
      </c>
      <c r="E7" s="4" t="s">
        <v>36</v>
      </c>
      <c r="F7" s="5">
        <v>44599</v>
      </c>
      <c r="G7" s="4" t="s">
        <v>37</v>
      </c>
      <c r="H7" s="4" t="s">
        <v>38</v>
      </c>
      <c r="I7" s="4" t="s">
        <v>38</v>
      </c>
      <c r="J7" s="6">
        <v>1811.52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20149.150000000001</v>
      </c>
      <c r="Q7" s="6">
        <v>0</v>
      </c>
      <c r="R7" s="6">
        <v>0</v>
      </c>
      <c r="S7" s="6">
        <v>0</v>
      </c>
      <c r="T7" s="6">
        <v>0</v>
      </c>
      <c r="U7" s="6">
        <v>700</v>
      </c>
      <c r="V7" s="5">
        <v>30637</v>
      </c>
      <c r="W7" s="5">
        <v>44599</v>
      </c>
      <c r="X7" s="7"/>
      <c r="Y7" s="4" t="s">
        <v>81</v>
      </c>
      <c r="Z7" s="4" t="s">
        <v>82</v>
      </c>
      <c r="AA7" s="4" t="s">
        <v>83</v>
      </c>
      <c r="AB7" s="4"/>
      <c r="AC7" s="4" t="s">
        <v>58</v>
      </c>
      <c r="AD7" s="4" t="s">
        <v>42</v>
      </c>
      <c r="AE7" s="4" t="s">
        <v>59</v>
      </c>
      <c r="AF7" s="7"/>
    </row>
    <row r="8" spans="1:32">
      <c r="A8" s="4" t="s">
        <v>84</v>
      </c>
      <c r="B8" s="4" t="s">
        <v>85</v>
      </c>
      <c r="C8" s="4" t="s">
        <v>86</v>
      </c>
      <c r="D8" s="4" t="s">
        <v>87</v>
      </c>
      <c r="E8" s="4" t="s">
        <v>88</v>
      </c>
      <c r="F8" s="5">
        <v>44293</v>
      </c>
      <c r="G8" s="4" t="s">
        <v>37</v>
      </c>
      <c r="H8" s="4" t="s">
        <v>38</v>
      </c>
      <c r="I8" s="4" t="s">
        <v>38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3657.95</v>
      </c>
      <c r="Q8" s="6">
        <v>0</v>
      </c>
      <c r="R8" s="6">
        <v>109.74</v>
      </c>
      <c r="S8" s="6">
        <v>0</v>
      </c>
      <c r="T8" s="6">
        <v>109.74</v>
      </c>
      <c r="U8" s="6">
        <v>166.25</v>
      </c>
      <c r="V8" s="5">
        <v>36039</v>
      </c>
      <c r="W8" s="5">
        <v>44293</v>
      </c>
      <c r="X8" s="5">
        <v>44586</v>
      </c>
      <c r="Y8" s="4"/>
      <c r="Z8" s="4" t="s">
        <v>89</v>
      </c>
      <c r="AA8" s="4" t="s">
        <v>90</v>
      </c>
      <c r="AB8" s="4"/>
      <c r="AC8" s="4" t="s">
        <v>67</v>
      </c>
      <c r="AD8" s="4" t="s">
        <v>42</v>
      </c>
      <c r="AE8" s="4" t="s">
        <v>68</v>
      </c>
      <c r="AF8" s="5">
        <v>44293</v>
      </c>
    </row>
    <row r="9" spans="1:32">
      <c r="A9" s="4" t="s">
        <v>91</v>
      </c>
      <c r="B9" s="4" t="s">
        <v>92</v>
      </c>
      <c r="C9" s="4" t="s">
        <v>93</v>
      </c>
      <c r="D9" s="4" t="s">
        <v>94</v>
      </c>
      <c r="E9" s="4" t="s">
        <v>36</v>
      </c>
      <c r="F9" s="5">
        <v>44417</v>
      </c>
      <c r="G9" s="4" t="s">
        <v>37</v>
      </c>
      <c r="H9" s="4" t="s">
        <v>38</v>
      </c>
      <c r="I9" s="4" t="s">
        <v>38</v>
      </c>
      <c r="J9" s="6">
        <v>1436.16</v>
      </c>
      <c r="K9" s="6">
        <v>0</v>
      </c>
      <c r="L9" s="6">
        <v>43.08</v>
      </c>
      <c r="M9" s="6">
        <v>0</v>
      </c>
      <c r="N9" s="6">
        <v>43.08</v>
      </c>
      <c r="O9" s="6">
        <v>0</v>
      </c>
      <c r="P9" s="6">
        <v>22464.799999999999</v>
      </c>
      <c r="Q9" s="6">
        <v>0</v>
      </c>
      <c r="R9" s="6">
        <v>347.37</v>
      </c>
      <c r="S9" s="6">
        <v>0</v>
      </c>
      <c r="T9" s="6">
        <v>347.37</v>
      </c>
      <c r="U9" s="6">
        <v>901.75</v>
      </c>
      <c r="V9" s="5">
        <v>35001</v>
      </c>
      <c r="W9" s="5">
        <v>44417</v>
      </c>
      <c r="X9" s="7"/>
      <c r="Y9" s="4"/>
      <c r="Z9" s="4" t="s">
        <v>95</v>
      </c>
      <c r="AA9" s="4" t="s">
        <v>96</v>
      </c>
      <c r="AB9" s="4" t="s">
        <v>97</v>
      </c>
      <c r="AC9" s="4" t="s">
        <v>58</v>
      </c>
      <c r="AD9" s="4" t="s">
        <v>42</v>
      </c>
      <c r="AE9" s="4" t="s">
        <v>59</v>
      </c>
      <c r="AF9" s="7"/>
    </row>
    <row r="10" spans="1:32">
      <c r="A10" s="4" t="s">
        <v>98</v>
      </c>
      <c r="B10" s="4" t="s">
        <v>99</v>
      </c>
      <c r="C10" s="4" t="s">
        <v>100</v>
      </c>
      <c r="D10" s="4" t="s">
        <v>101</v>
      </c>
      <c r="E10" s="4" t="s">
        <v>36</v>
      </c>
      <c r="F10" s="5">
        <v>43535</v>
      </c>
      <c r="G10" s="4" t="s">
        <v>37</v>
      </c>
      <c r="H10" s="4" t="s">
        <v>38</v>
      </c>
      <c r="I10" s="4" t="s">
        <v>38</v>
      </c>
      <c r="J10" s="6">
        <v>1000</v>
      </c>
      <c r="K10" s="6">
        <v>0</v>
      </c>
      <c r="L10" s="6">
        <v>30</v>
      </c>
      <c r="M10" s="6">
        <v>0</v>
      </c>
      <c r="N10" s="6">
        <v>30</v>
      </c>
      <c r="O10" s="6">
        <v>0</v>
      </c>
      <c r="P10" s="6">
        <v>39716.33</v>
      </c>
      <c r="Q10" s="6">
        <v>0</v>
      </c>
      <c r="R10" s="6">
        <v>1191.49</v>
      </c>
      <c r="S10" s="6">
        <v>0</v>
      </c>
      <c r="T10" s="6">
        <v>1191.49</v>
      </c>
      <c r="U10" s="6">
        <v>896</v>
      </c>
      <c r="V10" s="5">
        <v>33741</v>
      </c>
      <c r="W10" s="5">
        <v>43535</v>
      </c>
      <c r="X10" s="7"/>
      <c r="Y10" s="4" t="s">
        <v>102</v>
      </c>
      <c r="Z10" s="4" t="s">
        <v>103</v>
      </c>
      <c r="AA10" s="4" t="s">
        <v>104</v>
      </c>
      <c r="AB10" s="4"/>
      <c r="AC10" s="4" t="s">
        <v>50</v>
      </c>
      <c r="AD10" s="4" t="s">
        <v>42</v>
      </c>
      <c r="AE10" s="4" t="s">
        <v>105</v>
      </c>
      <c r="AF10" s="7"/>
    </row>
    <row r="11" spans="1:32">
      <c r="A11" s="4" t="s">
        <v>106</v>
      </c>
      <c r="B11" s="4" t="s">
        <v>33</v>
      </c>
      <c r="C11" s="4" t="s">
        <v>93</v>
      </c>
      <c r="D11" s="4" t="s">
        <v>107</v>
      </c>
      <c r="E11" s="4" t="s">
        <v>88</v>
      </c>
      <c r="F11" s="5">
        <v>44209</v>
      </c>
      <c r="G11" s="4" t="s">
        <v>37</v>
      </c>
      <c r="H11" s="4" t="s">
        <v>38</v>
      </c>
      <c r="I11" s="4" t="s">
        <v>38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13427.29</v>
      </c>
      <c r="Q11" s="6">
        <v>0</v>
      </c>
      <c r="R11" s="6">
        <v>402.83</v>
      </c>
      <c r="S11" s="6">
        <v>0</v>
      </c>
      <c r="T11" s="6">
        <v>402.83</v>
      </c>
      <c r="U11" s="6">
        <v>591.75</v>
      </c>
      <c r="V11" s="5">
        <v>34072</v>
      </c>
      <c r="W11" s="5">
        <v>44209</v>
      </c>
      <c r="X11" s="5">
        <v>44659</v>
      </c>
      <c r="Y11" s="4"/>
      <c r="Z11" s="4" t="s">
        <v>108</v>
      </c>
      <c r="AA11" s="4" t="s">
        <v>109</v>
      </c>
      <c r="AB11" s="4"/>
      <c r="AC11" s="4" t="s">
        <v>110</v>
      </c>
      <c r="AD11" s="4" t="s">
        <v>42</v>
      </c>
      <c r="AE11" s="4" t="s">
        <v>111</v>
      </c>
      <c r="AF11" s="7"/>
    </row>
    <row r="12" spans="1:32">
      <c r="A12" s="4" t="s">
        <v>112</v>
      </c>
      <c r="B12" s="4" t="s">
        <v>113</v>
      </c>
      <c r="C12" s="4" t="s">
        <v>114</v>
      </c>
      <c r="D12" s="4" t="s">
        <v>115</v>
      </c>
      <c r="E12" s="4" t="s">
        <v>36</v>
      </c>
      <c r="F12" s="5">
        <v>44158</v>
      </c>
      <c r="G12" s="4" t="s">
        <v>37</v>
      </c>
      <c r="H12" s="4" t="s">
        <v>38</v>
      </c>
      <c r="I12" s="4" t="s">
        <v>38</v>
      </c>
      <c r="J12" s="6">
        <v>1760</v>
      </c>
      <c r="K12" s="6">
        <v>0</v>
      </c>
      <c r="L12" s="6">
        <v>52.8</v>
      </c>
      <c r="M12" s="6">
        <v>0</v>
      </c>
      <c r="N12" s="6">
        <v>52.8</v>
      </c>
      <c r="O12" s="6">
        <v>0</v>
      </c>
      <c r="P12" s="6">
        <v>26710.68</v>
      </c>
      <c r="Q12" s="6">
        <v>0</v>
      </c>
      <c r="R12" s="6">
        <v>801.34</v>
      </c>
      <c r="S12" s="6">
        <v>0</v>
      </c>
      <c r="T12" s="6">
        <v>801.34</v>
      </c>
      <c r="U12" s="6">
        <v>1000.25</v>
      </c>
      <c r="V12" s="5">
        <v>26622</v>
      </c>
      <c r="W12" s="5">
        <v>44158</v>
      </c>
      <c r="X12" s="7"/>
      <c r="Y12" s="4"/>
      <c r="Z12" s="4" t="s">
        <v>116</v>
      </c>
      <c r="AA12" s="4" t="s">
        <v>117</v>
      </c>
      <c r="AB12" s="4"/>
      <c r="AC12" s="4" t="s">
        <v>118</v>
      </c>
      <c r="AD12" s="4" t="s">
        <v>42</v>
      </c>
      <c r="AE12" s="4" t="s">
        <v>51</v>
      </c>
      <c r="AF12" s="7"/>
    </row>
    <row r="13" spans="1:32">
      <c r="A13" s="4" t="s">
        <v>119</v>
      </c>
      <c r="B13" s="4" t="s">
        <v>120</v>
      </c>
      <c r="C13" s="4" t="s">
        <v>121</v>
      </c>
      <c r="D13" s="4" t="s">
        <v>122</v>
      </c>
      <c r="E13" s="4" t="s">
        <v>36</v>
      </c>
      <c r="F13" s="5">
        <v>44508</v>
      </c>
      <c r="G13" s="4" t="s">
        <v>37</v>
      </c>
      <c r="H13" s="4" t="s">
        <v>38</v>
      </c>
      <c r="I13" s="4" t="s">
        <v>38</v>
      </c>
      <c r="J13" s="6">
        <v>1584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25566.9</v>
      </c>
      <c r="Q13" s="6">
        <v>0</v>
      </c>
      <c r="R13" s="6">
        <v>0</v>
      </c>
      <c r="S13" s="6">
        <v>0</v>
      </c>
      <c r="T13" s="6">
        <v>0</v>
      </c>
      <c r="U13" s="6">
        <v>937</v>
      </c>
      <c r="V13" s="5">
        <v>30367</v>
      </c>
      <c r="W13" s="5">
        <v>44508</v>
      </c>
      <c r="X13" s="7"/>
      <c r="Y13" s="4" t="s">
        <v>123</v>
      </c>
      <c r="Z13" s="4" t="s">
        <v>124</v>
      </c>
      <c r="AA13" s="4" t="s">
        <v>125</v>
      </c>
      <c r="AB13" s="4"/>
      <c r="AC13" s="4" t="s">
        <v>126</v>
      </c>
      <c r="AD13" s="4" t="s">
        <v>42</v>
      </c>
      <c r="AE13" s="4" t="s">
        <v>127</v>
      </c>
      <c r="AF13" s="7"/>
    </row>
    <row r="14" spans="1:32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36</v>
      </c>
      <c r="F14" s="5">
        <v>44082</v>
      </c>
      <c r="G14" s="4" t="s">
        <v>37</v>
      </c>
      <c r="H14" s="4" t="s">
        <v>38</v>
      </c>
      <c r="I14" s="4" t="s">
        <v>38</v>
      </c>
      <c r="J14" s="6">
        <v>7117.8</v>
      </c>
      <c r="K14" s="6">
        <v>0</v>
      </c>
      <c r="L14" s="6">
        <v>213.53</v>
      </c>
      <c r="M14" s="6">
        <v>0</v>
      </c>
      <c r="N14" s="6">
        <v>213.53</v>
      </c>
      <c r="O14" s="6">
        <v>0</v>
      </c>
      <c r="P14" s="6">
        <v>78781.05</v>
      </c>
      <c r="Q14" s="6">
        <v>0</v>
      </c>
      <c r="R14" s="6">
        <v>2363.4</v>
      </c>
      <c r="S14" s="6">
        <v>0</v>
      </c>
      <c r="T14" s="6">
        <v>2363.4</v>
      </c>
      <c r="U14" s="6">
        <v>896</v>
      </c>
      <c r="V14" s="5">
        <v>33301</v>
      </c>
      <c r="W14" s="5">
        <v>44082</v>
      </c>
      <c r="X14" s="7"/>
      <c r="Y14" s="4"/>
      <c r="Z14" s="4" t="s">
        <v>132</v>
      </c>
      <c r="AA14" s="4" t="s">
        <v>133</v>
      </c>
      <c r="AB14" s="4"/>
      <c r="AC14" s="4" t="s">
        <v>134</v>
      </c>
      <c r="AD14" s="4" t="s">
        <v>42</v>
      </c>
      <c r="AE14" s="4" t="s">
        <v>135</v>
      </c>
      <c r="AF14" s="7"/>
    </row>
    <row r="15" spans="1:32">
      <c r="A15" s="4" t="s">
        <v>136</v>
      </c>
      <c r="B15" s="4" t="s">
        <v>137</v>
      </c>
      <c r="C15" s="4" t="s">
        <v>138</v>
      </c>
      <c r="D15" s="4" t="s">
        <v>139</v>
      </c>
      <c r="E15" s="4" t="s">
        <v>36</v>
      </c>
      <c r="F15" s="5">
        <v>41666</v>
      </c>
      <c r="G15" s="4" t="s">
        <v>37</v>
      </c>
      <c r="H15" s="4" t="s">
        <v>38</v>
      </c>
      <c r="I15" s="4" t="s">
        <v>38</v>
      </c>
      <c r="J15" s="6">
        <v>28937.63</v>
      </c>
      <c r="K15" s="6">
        <v>0</v>
      </c>
      <c r="L15" s="6">
        <v>868.13</v>
      </c>
      <c r="M15" s="6">
        <v>0</v>
      </c>
      <c r="N15" s="6">
        <v>868.13</v>
      </c>
      <c r="O15" s="6">
        <v>0</v>
      </c>
      <c r="P15" s="6">
        <v>179180.11</v>
      </c>
      <c r="Q15" s="6">
        <v>0</v>
      </c>
      <c r="R15" s="6">
        <v>5375.42</v>
      </c>
      <c r="S15" s="6">
        <v>0</v>
      </c>
      <c r="T15" s="6">
        <v>5375.42</v>
      </c>
      <c r="U15" s="6">
        <v>888</v>
      </c>
      <c r="V15" s="5">
        <v>23423</v>
      </c>
      <c r="W15" s="5">
        <v>41666</v>
      </c>
      <c r="X15" s="7"/>
      <c r="Y15" s="4" t="s">
        <v>140</v>
      </c>
      <c r="Z15" s="4" t="s">
        <v>141</v>
      </c>
      <c r="AA15" s="4" t="s">
        <v>142</v>
      </c>
      <c r="AB15" s="4" t="s">
        <v>143</v>
      </c>
      <c r="AC15" s="4" t="s">
        <v>144</v>
      </c>
      <c r="AD15" s="4" t="s">
        <v>145</v>
      </c>
      <c r="AE15" s="4" t="s">
        <v>146</v>
      </c>
      <c r="AF15" s="7"/>
    </row>
    <row r="16" spans="1:32">
      <c r="A16" s="4" t="s">
        <v>147</v>
      </c>
      <c r="B16" s="4" t="s">
        <v>148</v>
      </c>
      <c r="C16" s="4" t="s">
        <v>149</v>
      </c>
      <c r="D16" s="4" t="s">
        <v>62</v>
      </c>
      <c r="E16" s="4" t="s">
        <v>36</v>
      </c>
      <c r="F16" s="5">
        <v>44452</v>
      </c>
      <c r="G16" s="4" t="s">
        <v>37</v>
      </c>
      <c r="H16" s="4" t="s">
        <v>38</v>
      </c>
      <c r="I16" s="4" t="s">
        <v>38</v>
      </c>
      <c r="J16" s="6">
        <v>1503.04</v>
      </c>
      <c r="K16" s="6">
        <v>0</v>
      </c>
      <c r="L16" s="6">
        <v>45.09</v>
      </c>
      <c r="M16" s="6">
        <v>0</v>
      </c>
      <c r="N16" s="6">
        <v>45.09</v>
      </c>
      <c r="O16" s="6">
        <v>0</v>
      </c>
      <c r="P16" s="6">
        <v>25736.1</v>
      </c>
      <c r="Q16" s="6">
        <v>0</v>
      </c>
      <c r="R16" s="6">
        <v>410.91</v>
      </c>
      <c r="S16" s="6">
        <v>0</v>
      </c>
      <c r="T16" s="6">
        <v>410.91</v>
      </c>
      <c r="U16" s="6">
        <v>1052</v>
      </c>
      <c r="V16" s="5">
        <v>31856</v>
      </c>
      <c r="W16" s="5">
        <v>44452</v>
      </c>
      <c r="X16" s="7"/>
      <c r="Y16" s="4"/>
      <c r="Z16" s="4" t="s">
        <v>150</v>
      </c>
      <c r="AA16" s="4" t="s">
        <v>151</v>
      </c>
      <c r="AB16" s="4"/>
      <c r="AC16" s="4" t="s">
        <v>152</v>
      </c>
      <c r="AD16" s="4" t="s">
        <v>42</v>
      </c>
      <c r="AE16" s="4" t="s">
        <v>105</v>
      </c>
      <c r="AF16" s="7"/>
    </row>
    <row r="17" spans="1:32">
      <c r="A17" s="4" t="s">
        <v>153</v>
      </c>
      <c r="B17" s="4" t="s">
        <v>154</v>
      </c>
      <c r="C17" s="4" t="s">
        <v>155</v>
      </c>
      <c r="D17" s="4" t="s">
        <v>156</v>
      </c>
      <c r="E17" s="4" t="s">
        <v>36</v>
      </c>
      <c r="F17" s="5">
        <v>43759</v>
      </c>
      <c r="G17" s="4" t="s">
        <v>37</v>
      </c>
      <c r="H17" s="4" t="s">
        <v>38</v>
      </c>
      <c r="I17" s="4" t="s">
        <v>38</v>
      </c>
      <c r="J17" s="6">
        <v>4172.6899999999996</v>
      </c>
      <c r="K17" s="6">
        <v>0</v>
      </c>
      <c r="L17" s="6">
        <v>333.82</v>
      </c>
      <c r="M17" s="6">
        <v>0</v>
      </c>
      <c r="N17" s="6">
        <v>125.18</v>
      </c>
      <c r="O17" s="6">
        <v>0</v>
      </c>
      <c r="P17" s="6">
        <v>34938.21</v>
      </c>
      <c r="Q17" s="6">
        <v>0</v>
      </c>
      <c r="R17" s="6">
        <v>2795.06</v>
      </c>
      <c r="S17" s="6">
        <v>0</v>
      </c>
      <c r="T17" s="6">
        <v>1048.1500000000001</v>
      </c>
      <c r="U17" s="6">
        <v>896.25</v>
      </c>
      <c r="V17" s="5">
        <v>34961</v>
      </c>
      <c r="W17" s="5">
        <v>43759</v>
      </c>
      <c r="X17" s="7"/>
      <c r="Y17" s="4"/>
      <c r="Z17" s="4" t="s">
        <v>157</v>
      </c>
      <c r="AA17" s="4" t="s">
        <v>158</v>
      </c>
      <c r="AB17" s="4" t="s">
        <v>159</v>
      </c>
      <c r="AC17" s="4" t="s">
        <v>160</v>
      </c>
      <c r="AD17" s="4" t="s">
        <v>42</v>
      </c>
      <c r="AE17" s="4" t="s">
        <v>161</v>
      </c>
      <c r="AF17" s="7"/>
    </row>
    <row r="18" spans="1:32">
      <c r="A18" s="4" t="s">
        <v>162</v>
      </c>
      <c r="B18" s="4" t="s">
        <v>163</v>
      </c>
      <c r="C18" s="4" t="s">
        <v>34</v>
      </c>
      <c r="D18" s="4" t="s">
        <v>164</v>
      </c>
      <c r="E18" s="4" t="s">
        <v>36</v>
      </c>
      <c r="F18" s="5">
        <v>41568</v>
      </c>
      <c r="G18" s="4" t="s">
        <v>37</v>
      </c>
      <c r="H18" s="4" t="s">
        <v>38</v>
      </c>
      <c r="I18" s="4" t="s">
        <v>38</v>
      </c>
      <c r="J18" s="6">
        <v>833.33</v>
      </c>
      <c r="K18" s="6">
        <v>0</v>
      </c>
      <c r="L18" s="6">
        <v>25</v>
      </c>
      <c r="M18" s="6">
        <v>0</v>
      </c>
      <c r="N18" s="6">
        <v>25</v>
      </c>
      <c r="O18" s="6">
        <v>0</v>
      </c>
      <c r="P18" s="6">
        <v>44756.65</v>
      </c>
      <c r="Q18" s="6">
        <v>0</v>
      </c>
      <c r="R18" s="6">
        <v>1342.69</v>
      </c>
      <c r="S18" s="6">
        <v>0</v>
      </c>
      <c r="T18" s="6">
        <v>1342.69</v>
      </c>
      <c r="U18" s="6">
        <v>884</v>
      </c>
      <c r="V18" s="5">
        <v>32391</v>
      </c>
      <c r="W18" s="5">
        <v>41568</v>
      </c>
      <c r="X18" s="7"/>
      <c r="Y18" s="4" t="s">
        <v>165</v>
      </c>
      <c r="Z18" s="4" t="s">
        <v>166</v>
      </c>
      <c r="AA18" s="4" t="s">
        <v>167</v>
      </c>
      <c r="AB18" s="4"/>
      <c r="AC18" s="4" t="s">
        <v>168</v>
      </c>
      <c r="AD18" s="4" t="s">
        <v>75</v>
      </c>
      <c r="AE18" s="4" t="s">
        <v>169</v>
      </c>
      <c r="AF18" s="7"/>
    </row>
    <row r="19" spans="1:32">
      <c r="A19" s="4" t="s">
        <v>171</v>
      </c>
      <c r="B19" s="4" t="s">
        <v>172</v>
      </c>
      <c r="C19" s="4"/>
      <c r="D19" s="4" t="s">
        <v>173</v>
      </c>
      <c r="E19" s="4" t="s">
        <v>36</v>
      </c>
      <c r="F19" s="5">
        <v>43424</v>
      </c>
      <c r="G19" s="4" t="s">
        <v>37</v>
      </c>
      <c r="H19" s="4" t="s">
        <v>38</v>
      </c>
      <c r="I19" s="4" t="s">
        <v>38</v>
      </c>
      <c r="J19" s="6">
        <v>1548.8</v>
      </c>
      <c r="K19" s="6">
        <v>0</v>
      </c>
      <c r="L19" s="6">
        <v>46.46</v>
      </c>
      <c r="M19" s="6">
        <v>0</v>
      </c>
      <c r="N19" s="6">
        <v>46.46</v>
      </c>
      <c r="O19" s="6">
        <v>0</v>
      </c>
      <c r="P19" s="6">
        <v>23645.68</v>
      </c>
      <c r="Q19" s="6">
        <v>0</v>
      </c>
      <c r="R19" s="6">
        <v>709.35</v>
      </c>
      <c r="S19" s="6">
        <v>0</v>
      </c>
      <c r="T19" s="6">
        <v>709.35</v>
      </c>
      <c r="U19" s="6">
        <v>1024</v>
      </c>
      <c r="V19" s="5">
        <v>29548</v>
      </c>
      <c r="W19" s="5">
        <v>43424</v>
      </c>
      <c r="X19" s="7"/>
      <c r="Y19" s="4"/>
      <c r="Z19" s="4" t="s">
        <v>174</v>
      </c>
      <c r="AA19" s="4" t="s">
        <v>175</v>
      </c>
      <c r="AB19" s="4"/>
      <c r="AC19" s="4" t="s">
        <v>176</v>
      </c>
      <c r="AD19" s="4" t="s">
        <v>75</v>
      </c>
      <c r="AE19" s="4" t="s">
        <v>177</v>
      </c>
      <c r="AF19" s="7"/>
    </row>
    <row r="20" spans="1:32">
      <c r="A20" s="4" t="s">
        <v>178</v>
      </c>
      <c r="B20" s="4" t="s">
        <v>179</v>
      </c>
      <c r="C20" s="4"/>
      <c r="D20" s="4" t="s">
        <v>180</v>
      </c>
      <c r="E20" s="4" t="s">
        <v>36</v>
      </c>
      <c r="F20" s="5">
        <v>44641</v>
      </c>
      <c r="G20" s="4" t="s">
        <v>37</v>
      </c>
      <c r="H20" s="4" t="s">
        <v>38</v>
      </c>
      <c r="I20" s="4" t="s">
        <v>38</v>
      </c>
      <c r="J20" s="6">
        <v>1496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10154.540000000001</v>
      </c>
      <c r="Q20" s="6">
        <v>0</v>
      </c>
      <c r="R20" s="6">
        <v>0</v>
      </c>
      <c r="S20" s="6">
        <v>0</v>
      </c>
      <c r="T20" s="6">
        <v>0</v>
      </c>
      <c r="U20" s="6">
        <v>439.75</v>
      </c>
      <c r="V20" s="5">
        <v>30594</v>
      </c>
      <c r="W20" s="5">
        <v>44641</v>
      </c>
      <c r="X20" s="7"/>
      <c r="Y20" s="4" t="s">
        <v>181</v>
      </c>
      <c r="Z20" s="4" t="s">
        <v>182</v>
      </c>
      <c r="AA20" s="4" t="s">
        <v>183</v>
      </c>
      <c r="AB20" s="4"/>
      <c r="AC20" s="4" t="s">
        <v>184</v>
      </c>
      <c r="AD20" s="4" t="s">
        <v>75</v>
      </c>
      <c r="AE20" s="4" t="s">
        <v>185</v>
      </c>
      <c r="AF20" s="7"/>
    </row>
    <row r="21" spans="1:32">
      <c r="A21" s="4" t="s">
        <v>186</v>
      </c>
      <c r="B21" s="4" t="s">
        <v>187</v>
      </c>
      <c r="C21" s="4"/>
      <c r="D21" s="4" t="s">
        <v>188</v>
      </c>
      <c r="E21" s="4" t="s">
        <v>36</v>
      </c>
      <c r="F21" s="5">
        <v>44706</v>
      </c>
      <c r="G21" s="4" t="s">
        <v>37</v>
      </c>
      <c r="H21" s="4" t="s">
        <v>38</v>
      </c>
      <c r="I21" s="4" t="s">
        <v>38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499.5</v>
      </c>
      <c r="Q21" s="6">
        <v>0</v>
      </c>
      <c r="R21" s="6">
        <v>0</v>
      </c>
      <c r="S21" s="6">
        <v>0</v>
      </c>
      <c r="T21" s="6">
        <v>0</v>
      </c>
      <c r="U21" s="6">
        <v>27.75</v>
      </c>
      <c r="V21" s="5">
        <v>29594</v>
      </c>
      <c r="W21" s="5">
        <v>44706</v>
      </c>
      <c r="X21" s="7"/>
      <c r="Y21" s="4"/>
      <c r="Z21" s="4" t="s">
        <v>189</v>
      </c>
      <c r="AA21" s="4" t="s">
        <v>190</v>
      </c>
      <c r="AB21" s="4"/>
      <c r="AC21" s="4" t="s">
        <v>184</v>
      </c>
      <c r="AD21" s="4" t="s">
        <v>75</v>
      </c>
      <c r="AE21" s="4" t="s">
        <v>185</v>
      </c>
      <c r="AF21" s="7"/>
    </row>
    <row r="22" spans="1:32">
      <c r="A22" s="4" t="s">
        <v>191</v>
      </c>
      <c r="B22" s="4" t="s">
        <v>192</v>
      </c>
      <c r="C22" s="4" t="s">
        <v>114</v>
      </c>
      <c r="D22" s="4" t="s">
        <v>193</v>
      </c>
      <c r="E22" s="4" t="s">
        <v>88</v>
      </c>
      <c r="F22" s="5">
        <v>44068</v>
      </c>
      <c r="G22" s="4" t="s">
        <v>37</v>
      </c>
      <c r="H22" s="4" t="s">
        <v>38</v>
      </c>
      <c r="I22" s="4" t="s">
        <v>38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7918.76</v>
      </c>
      <c r="Q22" s="6">
        <v>0</v>
      </c>
      <c r="R22" s="6">
        <v>237.57</v>
      </c>
      <c r="S22" s="6">
        <v>0</v>
      </c>
      <c r="T22" s="6">
        <v>237.57</v>
      </c>
      <c r="U22" s="6">
        <v>388.5</v>
      </c>
      <c r="V22" s="5">
        <v>26663</v>
      </c>
      <c r="W22" s="5">
        <v>44068</v>
      </c>
      <c r="X22" s="5">
        <v>44616</v>
      </c>
      <c r="Y22" s="4"/>
      <c r="Z22" s="4" t="s">
        <v>194</v>
      </c>
      <c r="AA22" s="4" t="s">
        <v>195</v>
      </c>
      <c r="AB22" s="4"/>
      <c r="AC22" s="4" t="s">
        <v>196</v>
      </c>
      <c r="AD22" s="4" t="s">
        <v>75</v>
      </c>
      <c r="AE22" s="4" t="s">
        <v>197</v>
      </c>
      <c r="AF22" s="7"/>
    </row>
    <row r="23" spans="1:32">
      <c r="A23" s="4" t="s">
        <v>198</v>
      </c>
      <c r="B23" s="4" t="s">
        <v>129</v>
      </c>
      <c r="C23" s="4" t="s">
        <v>100</v>
      </c>
      <c r="D23" s="4" t="s">
        <v>199</v>
      </c>
      <c r="E23" s="4" t="s">
        <v>36</v>
      </c>
      <c r="F23" s="5">
        <v>41425</v>
      </c>
      <c r="G23" s="4" t="s">
        <v>37</v>
      </c>
      <c r="H23" s="4" t="s">
        <v>38</v>
      </c>
      <c r="I23" s="4" t="s">
        <v>38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105133.08</v>
      </c>
      <c r="Q23" s="6">
        <v>0</v>
      </c>
      <c r="R23" s="6">
        <v>3154.04</v>
      </c>
      <c r="S23" s="6">
        <v>0</v>
      </c>
      <c r="T23" s="6">
        <v>3154.04</v>
      </c>
      <c r="U23" s="6">
        <v>896</v>
      </c>
      <c r="V23" s="5">
        <v>31412</v>
      </c>
      <c r="W23" s="5">
        <v>41425</v>
      </c>
      <c r="X23" s="7"/>
      <c r="Y23" s="4" t="s">
        <v>200</v>
      </c>
      <c r="Z23" s="4" t="s">
        <v>201</v>
      </c>
      <c r="AA23" s="4" t="s">
        <v>202</v>
      </c>
      <c r="AB23" s="4"/>
      <c r="AC23" s="4" t="s">
        <v>203</v>
      </c>
      <c r="AD23" s="4" t="s">
        <v>75</v>
      </c>
      <c r="AE23" s="4" t="s">
        <v>204</v>
      </c>
      <c r="AF23" s="7"/>
    </row>
    <row r="24" spans="1:32">
      <c r="A24" s="4" t="s">
        <v>205</v>
      </c>
      <c r="B24" s="4" t="s">
        <v>206</v>
      </c>
      <c r="C24" s="4" t="s">
        <v>207</v>
      </c>
      <c r="D24" s="4" t="s">
        <v>208</v>
      </c>
      <c r="E24" s="4" t="s">
        <v>36</v>
      </c>
      <c r="F24" s="5">
        <v>43307</v>
      </c>
      <c r="G24" s="4" t="s">
        <v>37</v>
      </c>
      <c r="H24" s="4" t="s">
        <v>38</v>
      </c>
      <c r="I24" s="4" t="s">
        <v>38</v>
      </c>
      <c r="J24" s="6">
        <v>20978.639999999999</v>
      </c>
      <c r="K24" s="6">
        <v>0</v>
      </c>
      <c r="L24" s="6">
        <v>3356.58</v>
      </c>
      <c r="M24" s="6">
        <v>0</v>
      </c>
      <c r="N24" s="6">
        <v>629.36</v>
      </c>
      <c r="O24" s="6">
        <v>0</v>
      </c>
      <c r="P24" s="6">
        <v>101837.23</v>
      </c>
      <c r="Q24" s="6">
        <v>0</v>
      </c>
      <c r="R24" s="6">
        <v>11499.95</v>
      </c>
      <c r="S24" s="6">
        <v>4793.97</v>
      </c>
      <c r="T24" s="6">
        <v>3055.11</v>
      </c>
      <c r="U24" s="6">
        <v>880</v>
      </c>
      <c r="V24" s="5">
        <v>24372</v>
      </c>
      <c r="W24" s="5">
        <v>43307</v>
      </c>
      <c r="X24" s="7"/>
      <c r="Y24" s="4" t="s">
        <v>209</v>
      </c>
      <c r="Z24" s="4" t="s">
        <v>210</v>
      </c>
      <c r="AA24" s="4" t="s">
        <v>211</v>
      </c>
      <c r="AB24" s="4"/>
      <c r="AC24" s="4" t="s">
        <v>212</v>
      </c>
      <c r="AD24" s="4" t="s">
        <v>75</v>
      </c>
      <c r="AE24" s="4" t="s">
        <v>213</v>
      </c>
      <c r="AF24" s="7"/>
    </row>
    <row r="25" spans="1:32">
      <c r="A25" s="4" t="s">
        <v>214</v>
      </c>
      <c r="B25" s="4" t="s">
        <v>70</v>
      </c>
      <c r="C25" s="4" t="s">
        <v>215</v>
      </c>
      <c r="D25" s="4" t="s">
        <v>216</v>
      </c>
      <c r="E25" s="4" t="s">
        <v>36</v>
      </c>
      <c r="F25" s="5">
        <v>44697</v>
      </c>
      <c r="G25" s="4" t="s">
        <v>37</v>
      </c>
      <c r="H25" s="4" t="s">
        <v>38</v>
      </c>
      <c r="I25" s="4" t="s">
        <v>38</v>
      </c>
      <c r="J25" s="6">
        <v>5000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6346.16</v>
      </c>
      <c r="Q25" s="6">
        <v>0</v>
      </c>
      <c r="R25" s="6">
        <v>0</v>
      </c>
      <c r="S25" s="6">
        <v>0</v>
      </c>
      <c r="T25" s="6">
        <v>0</v>
      </c>
      <c r="U25" s="6">
        <v>80</v>
      </c>
      <c r="V25" s="5">
        <v>34315</v>
      </c>
      <c r="W25" s="5">
        <v>44697</v>
      </c>
      <c r="X25" s="7"/>
      <c r="Y25" s="4" t="s">
        <v>217</v>
      </c>
      <c r="Z25" s="4" t="s">
        <v>218</v>
      </c>
      <c r="AA25" s="4" t="s">
        <v>219</v>
      </c>
      <c r="AB25" s="4"/>
      <c r="AC25" s="4" t="s">
        <v>184</v>
      </c>
      <c r="AD25" s="4" t="s">
        <v>75</v>
      </c>
      <c r="AE25" s="4" t="s">
        <v>220</v>
      </c>
      <c r="AF25" s="7"/>
    </row>
    <row r="26" spans="1:32">
      <c r="A26" s="4" t="s">
        <v>221</v>
      </c>
      <c r="B26" s="4" t="s">
        <v>163</v>
      </c>
      <c r="C26" s="4"/>
      <c r="D26" s="4" t="s">
        <v>222</v>
      </c>
      <c r="E26" s="4" t="s">
        <v>36</v>
      </c>
      <c r="F26" s="5">
        <v>44676</v>
      </c>
      <c r="G26" s="4" t="s">
        <v>37</v>
      </c>
      <c r="H26" s="4" t="s">
        <v>38</v>
      </c>
      <c r="I26" s="4" t="s">
        <v>38</v>
      </c>
      <c r="J26" s="6">
        <v>1496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5386.88</v>
      </c>
      <c r="Q26" s="6">
        <v>0</v>
      </c>
      <c r="R26" s="6">
        <v>0</v>
      </c>
      <c r="S26" s="6">
        <v>0</v>
      </c>
      <c r="T26" s="6">
        <v>0</v>
      </c>
      <c r="U26" s="6">
        <v>219.25</v>
      </c>
      <c r="V26" s="5">
        <v>32708</v>
      </c>
      <c r="W26" s="5">
        <v>44676</v>
      </c>
      <c r="X26" s="7"/>
      <c r="Y26" s="4" t="s">
        <v>223</v>
      </c>
      <c r="Z26" s="4" t="s">
        <v>224</v>
      </c>
      <c r="AA26" s="4" t="s">
        <v>225</v>
      </c>
      <c r="AB26" s="4"/>
      <c r="AC26" s="4" t="s">
        <v>226</v>
      </c>
      <c r="AD26" s="4" t="s">
        <v>75</v>
      </c>
      <c r="AE26" s="4" t="s">
        <v>227</v>
      </c>
      <c r="AF26" s="7"/>
    </row>
    <row r="27" spans="1:32">
      <c r="A27" s="4" t="s">
        <v>228</v>
      </c>
      <c r="B27" s="4" t="s">
        <v>229</v>
      </c>
      <c r="C27" s="4" t="s">
        <v>137</v>
      </c>
      <c r="D27" s="4" t="s">
        <v>230</v>
      </c>
      <c r="E27" s="4" t="s">
        <v>36</v>
      </c>
      <c r="F27" s="5">
        <v>44697</v>
      </c>
      <c r="G27" s="4" t="s">
        <v>37</v>
      </c>
      <c r="H27" s="4" t="s">
        <v>38</v>
      </c>
      <c r="I27" s="4" t="s">
        <v>38</v>
      </c>
      <c r="J27" s="6">
        <v>1232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3734.5</v>
      </c>
      <c r="Q27" s="6">
        <v>0</v>
      </c>
      <c r="R27" s="6">
        <v>0</v>
      </c>
      <c r="S27" s="6">
        <v>0</v>
      </c>
      <c r="T27" s="6">
        <v>0</v>
      </c>
      <c r="U27" s="6">
        <v>86.25</v>
      </c>
      <c r="V27" s="5">
        <v>23730</v>
      </c>
      <c r="W27" s="5">
        <v>44697</v>
      </c>
      <c r="X27" s="7"/>
      <c r="Y27" s="4" t="s">
        <v>231</v>
      </c>
      <c r="Z27" s="4" t="s">
        <v>232</v>
      </c>
      <c r="AA27" s="4" t="s">
        <v>233</v>
      </c>
      <c r="AB27" s="4"/>
      <c r="AC27" s="4" t="s">
        <v>234</v>
      </c>
      <c r="AD27" s="4" t="s">
        <v>75</v>
      </c>
      <c r="AE27" s="4" t="s">
        <v>235</v>
      </c>
      <c r="AF27" s="7"/>
    </row>
    <row r="28" spans="1:32">
      <c r="A28" s="4" t="s">
        <v>236</v>
      </c>
      <c r="B28" s="4" t="s">
        <v>33</v>
      </c>
      <c r="C28" s="4" t="s">
        <v>129</v>
      </c>
      <c r="D28" s="4" t="s">
        <v>208</v>
      </c>
      <c r="E28" s="4" t="s">
        <v>36</v>
      </c>
      <c r="F28" s="5">
        <v>43836</v>
      </c>
      <c r="G28" s="4" t="s">
        <v>37</v>
      </c>
      <c r="H28" s="4" t="s">
        <v>38</v>
      </c>
      <c r="I28" s="4" t="s">
        <v>38</v>
      </c>
      <c r="J28" s="6">
        <v>1548.8</v>
      </c>
      <c r="K28" s="6">
        <v>0</v>
      </c>
      <c r="L28" s="6">
        <v>46.46</v>
      </c>
      <c r="M28" s="6">
        <v>0</v>
      </c>
      <c r="N28" s="6">
        <v>46.46</v>
      </c>
      <c r="O28" s="6">
        <v>0</v>
      </c>
      <c r="P28" s="6">
        <v>22660.080000000002</v>
      </c>
      <c r="Q28" s="6">
        <v>0</v>
      </c>
      <c r="R28" s="6">
        <v>679.79</v>
      </c>
      <c r="S28" s="6">
        <v>0</v>
      </c>
      <c r="T28" s="6">
        <v>679.79</v>
      </c>
      <c r="U28" s="6">
        <v>982.5</v>
      </c>
      <c r="V28" s="5">
        <v>35612</v>
      </c>
      <c r="W28" s="5">
        <v>43836</v>
      </c>
      <c r="X28" s="7"/>
      <c r="Y28" s="4"/>
      <c r="Z28" s="4" t="s">
        <v>237</v>
      </c>
      <c r="AA28" s="4" t="s">
        <v>238</v>
      </c>
      <c r="AB28" s="4" t="s">
        <v>239</v>
      </c>
      <c r="AC28" s="4" t="s">
        <v>240</v>
      </c>
      <c r="AD28" s="4" t="s">
        <v>75</v>
      </c>
      <c r="AE28" s="4" t="s">
        <v>241</v>
      </c>
      <c r="AF28" s="7"/>
    </row>
    <row r="29" spans="1:32">
      <c r="A29" s="4" t="s">
        <v>242</v>
      </c>
      <c r="B29" s="4" t="s">
        <v>53</v>
      </c>
      <c r="C29" s="4" t="s">
        <v>88</v>
      </c>
      <c r="D29" s="4" t="s">
        <v>243</v>
      </c>
      <c r="E29" s="4" t="s">
        <v>36</v>
      </c>
      <c r="F29" s="5">
        <v>42549</v>
      </c>
      <c r="G29" s="4" t="s">
        <v>37</v>
      </c>
      <c r="H29" s="4" t="s">
        <v>38</v>
      </c>
      <c r="I29" s="4" t="s">
        <v>38</v>
      </c>
      <c r="J29" s="6">
        <v>1488.48</v>
      </c>
      <c r="K29" s="6">
        <v>0</v>
      </c>
      <c r="L29" s="6">
        <v>44.65</v>
      </c>
      <c r="M29" s="6">
        <v>0</v>
      </c>
      <c r="N29" s="6">
        <v>44.65</v>
      </c>
      <c r="O29" s="6">
        <v>0</v>
      </c>
      <c r="P29" s="6">
        <v>26109.48</v>
      </c>
      <c r="Q29" s="6">
        <v>0</v>
      </c>
      <c r="R29" s="6">
        <v>783.28</v>
      </c>
      <c r="S29" s="6">
        <v>0</v>
      </c>
      <c r="T29" s="6">
        <v>783.28</v>
      </c>
      <c r="U29" s="6">
        <v>884</v>
      </c>
      <c r="V29" s="5">
        <v>34564</v>
      </c>
      <c r="W29" s="5">
        <v>42549</v>
      </c>
      <c r="X29" s="7"/>
      <c r="Y29" s="4" t="s">
        <v>244</v>
      </c>
      <c r="Z29" s="4" t="s">
        <v>245</v>
      </c>
      <c r="AA29" s="4" t="s">
        <v>246</v>
      </c>
      <c r="AB29" s="4"/>
      <c r="AC29" s="4" t="s">
        <v>247</v>
      </c>
      <c r="AD29" s="4" t="s">
        <v>75</v>
      </c>
      <c r="AE29" s="4" t="s">
        <v>248</v>
      </c>
      <c r="AF29" s="7"/>
    </row>
    <row r="30" spans="1:32">
      <c r="A30" s="4" t="s">
        <v>249</v>
      </c>
      <c r="B30" s="4" t="s">
        <v>129</v>
      </c>
      <c r="C30" s="4" t="s">
        <v>114</v>
      </c>
      <c r="D30" s="4" t="s">
        <v>250</v>
      </c>
      <c r="E30" s="4" t="s">
        <v>36</v>
      </c>
      <c r="F30" s="5">
        <v>42147</v>
      </c>
      <c r="G30" s="4" t="s">
        <v>37</v>
      </c>
      <c r="H30" s="4" t="s">
        <v>38</v>
      </c>
      <c r="I30" s="4" t="s">
        <v>38</v>
      </c>
      <c r="J30" s="6">
        <v>4551.8100000000004</v>
      </c>
      <c r="K30" s="6">
        <v>0</v>
      </c>
      <c r="L30" s="6">
        <v>1228.99</v>
      </c>
      <c r="M30" s="6">
        <v>0</v>
      </c>
      <c r="N30" s="6">
        <v>136.55000000000001</v>
      </c>
      <c r="O30" s="6">
        <v>0</v>
      </c>
      <c r="P30" s="6">
        <v>46056.65</v>
      </c>
      <c r="Q30" s="6">
        <v>0</v>
      </c>
      <c r="R30" s="6">
        <v>12158.4</v>
      </c>
      <c r="S30" s="6">
        <v>0</v>
      </c>
      <c r="T30" s="6">
        <v>1381.72</v>
      </c>
      <c r="U30" s="6">
        <v>880</v>
      </c>
      <c r="V30" s="5">
        <v>23237</v>
      </c>
      <c r="W30" s="5">
        <v>42147</v>
      </c>
      <c r="X30" s="7"/>
      <c r="Y30" s="4" t="s">
        <v>251</v>
      </c>
      <c r="Z30" s="4" t="s">
        <v>252</v>
      </c>
      <c r="AA30" s="4" t="s">
        <v>253</v>
      </c>
      <c r="AB30" s="4"/>
      <c r="AC30" s="4" t="s">
        <v>254</v>
      </c>
      <c r="AD30" s="4" t="s">
        <v>75</v>
      </c>
      <c r="AE30" s="4" t="s">
        <v>255</v>
      </c>
      <c r="AF30" s="7"/>
    </row>
    <row r="31" spans="1:32">
      <c r="A31" s="4" t="s">
        <v>256</v>
      </c>
      <c r="B31" s="4" t="s">
        <v>257</v>
      </c>
      <c r="C31" s="4" t="s">
        <v>258</v>
      </c>
      <c r="D31" s="4" t="s">
        <v>259</v>
      </c>
      <c r="E31" s="4" t="s">
        <v>36</v>
      </c>
      <c r="F31" s="5">
        <v>42366</v>
      </c>
      <c r="G31" s="4" t="s">
        <v>37</v>
      </c>
      <c r="H31" s="4" t="s">
        <v>38</v>
      </c>
      <c r="I31" s="4" t="s">
        <v>38</v>
      </c>
      <c r="J31" s="6">
        <v>3982.83</v>
      </c>
      <c r="K31" s="6">
        <v>0</v>
      </c>
      <c r="L31" s="6">
        <v>119.48</v>
      </c>
      <c r="M31" s="6">
        <v>0</v>
      </c>
      <c r="N31" s="6">
        <v>119.48</v>
      </c>
      <c r="O31" s="6">
        <v>0</v>
      </c>
      <c r="P31" s="6">
        <v>46561.52</v>
      </c>
      <c r="Q31" s="6">
        <v>0</v>
      </c>
      <c r="R31" s="6">
        <v>1396.88</v>
      </c>
      <c r="S31" s="6">
        <v>0</v>
      </c>
      <c r="T31" s="6">
        <v>1396.88</v>
      </c>
      <c r="U31" s="6">
        <v>888</v>
      </c>
      <c r="V31" s="5">
        <v>30134</v>
      </c>
      <c r="W31" s="5">
        <v>42366</v>
      </c>
      <c r="X31" s="7"/>
      <c r="Y31" s="4" t="s">
        <v>260</v>
      </c>
      <c r="Z31" s="4" t="s">
        <v>261</v>
      </c>
      <c r="AA31" s="4" t="s">
        <v>262</v>
      </c>
      <c r="AB31" s="4"/>
      <c r="AC31" s="4" t="s">
        <v>263</v>
      </c>
      <c r="AD31" s="4" t="s">
        <v>75</v>
      </c>
      <c r="AE31" s="4" t="s">
        <v>264</v>
      </c>
      <c r="AF31" s="7"/>
    </row>
    <row r="32" spans="1:32">
      <c r="A32" s="4" t="s">
        <v>265</v>
      </c>
      <c r="B32" s="4" t="s">
        <v>266</v>
      </c>
      <c r="C32" s="4" t="s">
        <v>88</v>
      </c>
      <c r="D32" s="4" t="s">
        <v>267</v>
      </c>
      <c r="E32" s="4" t="s">
        <v>36</v>
      </c>
      <c r="F32" s="5">
        <v>42445</v>
      </c>
      <c r="G32" s="4" t="s">
        <v>37</v>
      </c>
      <c r="H32" s="4" t="s">
        <v>38</v>
      </c>
      <c r="I32" s="4" t="s">
        <v>38</v>
      </c>
      <c r="J32" s="6">
        <v>1500</v>
      </c>
      <c r="K32" s="6">
        <v>0</v>
      </c>
      <c r="L32" s="6">
        <v>45</v>
      </c>
      <c r="M32" s="6">
        <v>0</v>
      </c>
      <c r="N32" s="6">
        <v>45</v>
      </c>
      <c r="O32" s="6">
        <v>0</v>
      </c>
      <c r="P32" s="6">
        <v>47817.279999999999</v>
      </c>
      <c r="Q32" s="6">
        <v>0</v>
      </c>
      <c r="R32" s="6">
        <v>1434.56</v>
      </c>
      <c r="S32" s="6">
        <v>0</v>
      </c>
      <c r="T32" s="6">
        <v>1434.56</v>
      </c>
      <c r="U32" s="6">
        <v>884</v>
      </c>
      <c r="V32" s="5">
        <v>30096</v>
      </c>
      <c r="W32" s="5">
        <v>42445</v>
      </c>
      <c r="X32" s="7"/>
      <c r="Y32" s="4"/>
      <c r="Z32" s="4" t="s">
        <v>268</v>
      </c>
      <c r="AA32" s="4" t="s">
        <v>269</v>
      </c>
      <c r="AB32" s="4"/>
      <c r="AC32" s="4" t="s">
        <v>270</v>
      </c>
      <c r="AD32" s="4" t="s">
        <v>271</v>
      </c>
      <c r="AE32" s="4" t="s">
        <v>272</v>
      </c>
      <c r="AF32" s="7"/>
    </row>
    <row r="33" spans="1:32">
      <c r="A33" s="4" t="s">
        <v>273</v>
      </c>
      <c r="B33" s="4" t="s">
        <v>274</v>
      </c>
      <c r="C33" s="4" t="s">
        <v>275</v>
      </c>
      <c r="D33" s="4" t="s">
        <v>276</v>
      </c>
      <c r="E33" s="4" t="s">
        <v>36</v>
      </c>
      <c r="F33" s="5">
        <v>44335</v>
      </c>
      <c r="G33" s="4" t="s">
        <v>37</v>
      </c>
      <c r="H33" s="4" t="s">
        <v>38</v>
      </c>
      <c r="I33" s="4" t="s">
        <v>38</v>
      </c>
      <c r="J33" s="6">
        <v>1936</v>
      </c>
      <c r="K33" s="6">
        <v>0</v>
      </c>
      <c r="L33" s="6">
        <v>58.08</v>
      </c>
      <c r="M33" s="6">
        <v>0</v>
      </c>
      <c r="N33" s="6">
        <v>58.08</v>
      </c>
      <c r="O33" s="6">
        <v>0</v>
      </c>
      <c r="P33" s="6">
        <v>26584.28</v>
      </c>
      <c r="Q33" s="6">
        <v>0</v>
      </c>
      <c r="R33" s="6">
        <v>782.93</v>
      </c>
      <c r="S33" s="6">
        <v>0</v>
      </c>
      <c r="T33" s="6">
        <v>797.52</v>
      </c>
      <c r="U33" s="6">
        <v>934.5</v>
      </c>
      <c r="V33" s="5">
        <v>29624</v>
      </c>
      <c r="W33" s="5">
        <v>44335</v>
      </c>
      <c r="X33" s="7"/>
      <c r="Y33" s="4"/>
      <c r="Z33" s="4" t="s">
        <v>277</v>
      </c>
      <c r="AA33" s="4" t="s">
        <v>278</v>
      </c>
      <c r="AB33" s="4" t="s">
        <v>279</v>
      </c>
      <c r="AC33" s="4" t="s">
        <v>280</v>
      </c>
      <c r="AD33" s="4" t="s">
        <v>271</v>
      </c>
      <c r="AE33" s="4" t="s">
        <v>281</v>
      </c>
      <c r="AF33" s="7"/>
    </row>
    <row r="34" spans="1:32">
      <c r="A34" s="4" t="s">
        <v>282</v>
      </c>
      <c r="B34" s="4" t="s">
        <v>283</v>
      </c>
      <c r="C34" s="4" t="s">
        <v>34</v>
      </c>
      <c r="D34" s="4" t="s">
        <v>284</v>
      </c>
      <c r="E34" s="4" t="s">
        <v>36</v>
      </c>
      <c r="F34" s="5">
        <v>42919</v>
      </c>
      <c r="G34" s="4" t="s">
        <v>37</v>
      </c>
      <c r="H34" s="4" t="s">
        <v>38</v>
      </c>
      <c r="I34" s="4" t="s">
        <v>38</v>
      </c>
      <c r="J34" s="6">
        <v>2003.76</v>
      </c>
      <c r="K34" s="6">
        <v>0</v>
      </c>
      <c r="L34" s="6">
        <v>60.11</v>
      </c>
      <c r="M34" s="6">
        <v>0</v>
      </c>
      <c r="N34" s="6">
        <v>60.11</v>
      </c>
      <c r="O34" s="6">
        <v>0</v>
      </c>
      <c r="P34" s="6">
        <v>31610.799999999999</v>
      </c>
      <c r="Q34" s="6">
        <v>0</v>
      </c>
      <c r="R34" s="6">
        <v>948.33</v>
      </c>
      <c r="S34" s="6">
        <v>0</v>
      </c>
      <c r="T34" s="6">
        <v>948.33</v>
      </c>
      <c r="U34" s="6">
        <v>1030.42</v>
      </c>
      <c r="V34" s="5">
        <v>30582</v>
      </c>
      <c r="W34" s="5">
        <v>42919</v>
      </c>
      <c r="X34" s="7"/>
      <c r="Y34" s="4"/>
      <c r="Z34" s="4" t="s">
        <v>285</v>
      </c>
      <c r="AA34" s="4" t="s">
        <v>286</v>
      </c>
      <c r="AB34" s="4"/>
      <c r="AC34" s="4" t="s">
        <v>280</v>
      </c>
      <c r="AD34" s="4" t="s">
        <v>271</v>
      </c>
      <c r="AE34" s="4" t="s">
        <v>287</v>
      </c>
      <c r="AF34" s="7"/>
    </row>
    <row r="35" spans="1:32">
      <c r="A35" s="4" t="s">
        <v>288</v>
      </c>
      <c r="B35" s="4" t="s">
        <v>289</v>
      </c>
      <c r="C35" s="4" t="s">
        <v>290</v>
      </c>
      <c r="D35" s="4" t="s">
        <v>291</v>
      </c>
      <c r="E35" s="4" t="s">
        <v>36</v>
      </c>
      <c r="F35" s="5">
        <v>44207</v>
      </c>
      <c r="G35" s="4" t="s">
        <v>37</v>
      </c>
      <c r="H35" s="4" t="s">
        <v>38</v>
      </c>
      <c r="I35" s="4" t="s">
        <v>38</v>
      </c>
      <c r="J35" s="6">
        <v>1913.12</v>
      </c>
      <c r="K35" s="6">
        <v>0</v>
      </c>
      <c r="L35" s="6">
        <v>57.39</v>
      </c>
      <c r="M35" s="6">
        <v>0</v>
      </c>
      <c r="N35" s="6">
        <v>57.39</v>
      </c>
      <c r="O35" s="6">
        <v>0</v>
      </c>
      <c r="P35" s="6">
        <v>24965.78</v>
      </c>
      <c r="Q35" s="6">
        <v>0</v>
      </c>
      <c r="R35" s="6">
        <v>748.96</v>
      </c>
      <c r="S35" s="6">
        <v>0</v>
      </c>
      <c r="T35" s="6">
        <v>748.96</v>
      </c>
      <c r="U35" s="6">
        <v>838.75</v>
      </c>
      <c r="V35" s="5">
        <v>23890</v>
      </c>
      <c r="W35" s="5">
        <v>44207</v>
      </c>
      <c r="X35" s="7"/>
      <c r="Y35" s="4" t="s">
        <v>292</v>
      </c>
      <c r="Z35" s="4" t="s">
        <v>293</v>
      </c>
      <c r="AA35" s="4" t="s">
        <v>294</v>
      </c>
      <c r="AB35" s="4"/>
      <c r="AC35" s="4" t="s">
        <v>280</v>
      </c>
      <c r="AD35" s="4" t="s">
        <v>271</v>
      </c>
      <c r="AE35" s="4" t="s">
        <v>295</v>
      </c>
      <c r="AF35" s="7"/>
    </row>
    <row r="36" spans="1:32">
      <c r="A36" s="4" t="s">
        <v>296</v>
      </c>
      <c r="B36" s="4" t="s">
        <v>297</v>
      </c>
      <c r="C36" s="4" t="s">
        <v>155</v>
      </c>
      <c r="D36" s="4" t="s">
        <v>298</v>
      </c>
      <c r="E36" s="4" t="s">
        <v>36</v>
      </c>
      <c r="F36" s="5">
        <v>44137</v>
      </c>
      <c r="G36" s="4" t="s">
        <v>37</v>
      </c>
      <c r="H36" s="4" t="s">
        <v>38</v>
      </c>
      <c r="I36" s="4" t="s">
        <v>38</v>
      </c>
      <c r="J36" s="6">
        <v>1804</v>
      </c>
      <c r="K36" s="6">
        <v>0</v>
      </c>
      <c r="L36" s="6">
        <v>54.12</v>
      </c>
      <c r="M36" s="6">
        <v>0</v>
      </c>
      <c r="N36" s="6">
        <v>54.12</v>
      </c>
      <c r="O36" s="6">
        <v>0</v>
      </c>
      <c r="P36" s="6">
        <v>23765.46</v>
      </c>
      <c r="Q36" s="6">
        <v>0</v>
      </c>
      <c r="R36" s="6">
        <v>712.97</v>
      </c>
      <c r="S36" s="6">
        <v>0</v>
      </c>
      <c r="T36" s="6">
        <v>712.97</v>
      </c>
      <c r="U36" s="6">
        <v>853.5</v>
      </c>
      <c r="V36" s="5">
        <v>30724</v>
      </c>
      <c r="W36" s="5">
        <v>44137</v>
      </c>
      <c r="X36" s="7"/>
      <c r="Y36" s="4"/>
      <c r="Z36" s="4" t="s">
        <v>299</v>
      </c>
      <c r="AA36" s="4" t="s">
        <v>300</v>
      </c>
      <c r="AB36" s="4"/>
      <c r="AC36" s="4" t="s">
        <v>301</v>
      </c>
      <c r="AD36" s="4" t="s">
        <v>302</v>
      </c>
      <c r="AE36" s="4" t="s">
        <v>303</v>
      </c>
      <c r="AF36" s="7"/>
    </row>
    <row r="37" spans="1:32">
      <c r="A37" s="4" t="s">
        <v>304</v>
      </c>
      <c r="B37" s="4" t="s">
        <v>266</v>
      </c>
      <c r="C37" s="4" t="s">
        <v>305</v>
      </c>
      <c r="D37" s="4" t="s">
        <v>291</v>
      </c>
      <c r="E37" s="4" t="s">
        <v>36</v>
      </c>
      <c r="F37" s="5">
        <v>44356</v>
      </c>
      <c r="G37" s="4" t="s">
        <v>86</v>
      </c>
      <c r="H37" s="4" t="s">
        <v>38</v>
      </c>
      <c r="I37" s="4" t="s">
        <v>38</v>
      </c>
      <c r="J37" s="6">
        <v>1279.08</v>
      </c>
      <c r="K37" s="6">
        <v>0</v>
      </c>
      <c r="L37" s="6">
        <v>38.369999999999997</v>
      </c>
      <c r="M37" s="6">
        <v>0</v>
      </c>
      <c r="N37" s="6">
        <v>38.369999999999997</v>
      </c>
      <c r="O37" s="6">
        <v>0</v>
      </c>
      <c r="P37" s="6">
        <v>15358.14</v>
      </c>
      <c r="Q37" s="6">
        <v>0</v>
      </c>
      <c r="R37" s="6">
        <v>449.6</v>
      </c>
      <c r="S37" s="6">
        <v>0</v>
      </c>
      <c r="T37" s="6">
        <v>460.76</v>
      </c>
      <c r="U37" s="6">
        <v>607.75</v>
      </c>
      <c r="V37" s="5">
        <v>36142</v>
      </c>
      <c r="W37" s="5">
        <v>44356</v>
      </c>
      <c r="X37" s="7"/>
      <c r="Y37" s="4" t="s">
        <v>306</v>
      </c>
      <c r="Z37" s="4" t="s">
        <v>307</v>
      </c>
      <c r="AA37" s="4" t="s">
        <v>294</v>
      </c>
      <c r="AB37" s="4"/>
      <c r="AC37" s="4" t="s">
        <v>280</v>
      </c>
      <c r="AD37" s="4" t="s">
        <v>271</v>
      </c>
      <c r="AE37" s="4" t="s">
        <v>295</v>
      </c>
      <c r="AF37" s="7"/>
    </row>
    <row r="38" spans="1:32">
      <c r="A38" s="4" t="s">
        <v>308</v>
      </c>
      <c r="B38" s="4" t="s">
        <v>309</v>
      </c>
      <c r="C38" s="4" t="s">
        <v>310</v>
      </c>
      <c r="D38" s="4" t="s">
        <v>311</v>
      </c>
      <c r="E38" s="4" t="s">
        <v>36</v>
      </c>
      <c r="F38" s="5">
        <v>44333</v>
      </c>
      <c r="G38" s="4" t="s">
        <v>37</v>
      </c>
      <c r="H38" s="4" t="s">
        <v>38</v>
      </c>
      <c r="I38" s="4" t="s">
        <v>38</v>
      </c>
      <c r="J38" s="6">
        <v>8027.8</v>
      </c>
      <c r="K38" s="6">
        <v>0</v>
      </c>
      <c r="L38" s="6">
        <v>1204.17</v>
      </c>
      <c r="M38" s="6">
        <v>0</v>
      </c>
      <c r="N38" s="6">
        <v>240.83</v>
      </c>
      <c r="O38" s="6">
        <v>0</v>
      </c>
      <c r="P38" s="6">
        <v>69895.08</v>
      </c>
      <c r="Q38" s="6">
        <v>0</v>
      </c>
      <c r="R38" s="6">
        <v>10161.99</v>
      </c>
      <c r="S38" s="6">
        <v>0</v>
      </c>
      <c r="T38" s="6">
        <v>2096.88</v>
      </c>
      <c r="U38" s="6">
        <v>920</v>
      </c>
      <c r="V38" s="5">
        <v>23687</v>
      </c>
      <c r="W38" s="5">
        <v>44333</v>
      </c>
      <c r="X38" s="7"/>
      <c r="Y38" s="4"/>
      <c r="Z38" s="4" t="s">
        <v>312</v>
      </c>
      <c r="AA38" s="4" t="s">
        <v>313</v>
      </c>
      <c r="AB38" s="4"/>
      <c r="AC38" s="4" t="s">
        <v>280</v>
      </c>
      <c r="AD38" s="4" t="s">
        <v>271</v>
      </c>
      <c r="AE38" s="4" t="s">
        <v>314</v>
      </c>
      <c r="AF38" s="7"/>
    </row>
    <row r="39" spans="1:32">
      <c r="A39" s="4" t="s">
        <v>315</v>
      </c>
      <c r="B39" s="4" t="s">
        <v>316</v>
      </c>
      <c r="C39" s="4" t="s">
        <v>297</v>
      </c>
      <c r="D39" s="4" t="s">
        <v>317</v>
      </c>
      <c r="E39" s="4" t="s">
        <v>36</v>
      </c>
      <c r="F39" s="5">
        <v>44613</v>
      </c>
      <c r="G39" s="4" t="s">
        <v>37</v>
      </c>
      <c r="H39" s="4" t="s">
        <v>38</v>
      </c>
      <c r="I39" s="4" t="s">
        <v>38</v>
      </c>
      <c r="J39" s="6">
        <v>1540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13619.4</v>
      </c>
      <c r="Q39" s="6">
        <v>0</v>
      </c>
      <c r="R39" s="6">
        <v>0</v>
      </c>
      <c r="S39" s="6">
        <v>0</v>
      </c>
      <c r="T39" s="6">
        <v>0</v>
      </c>
      <c r="U39" s="6">
        <v>568.15</v>
      </c>
      <c r="V39" s="5">
        <v>37863</v>
      </c>
      <c r="W39" s="5">
        <v>44613</v>
      </c>
      <c r="X39" s="7"/>
      <c r="Y39" s="4"/>
      <c r="Z39" s="4" t="s">
        <v>318</v>
      </c>
      <c r="AA39" s="4" t="s">
        <v>319</v>
      </c>
      <c r="AB39" s="4"/>
      <c r="AC39" s="4" t="s">
        <v>280</v>
      </c>
      <c r="AD39" s="4" t="s">
        <v>271</v>
      </c>
      <c r="AE39" s="4" t="s">
        <v>320</v>
      </c>
      <c r="AF39" s="7"/>
    </row>
    <row r="40" spans="1:32">
      <c r="A40" s="4" t="s">
        <v>321</v>
      </c>
      <c r="B40" s="4" t="s">
        <v>322</v>
      </c>
      <c r="C40" s="4" t="s">
        <v>86</v>
      </c>
      <c r="D40" s="4" t="s">
        <v>323</v>
      </c>
      <c r="E40" s="4" t="s">
        <v>36</v>
      </c>
      <c r="F40" s="5">
        <v>43080</v>
      </c>
      <c r="G40" s="4" t="s">
        <v>37</v>
      </c>
      <c r="H40" s="4" t="s">
        <v>38</v>
      </c>
      <c r="I40" s="4" t="s">
        <v>38</v>
      </c>
      <c r="J40" s="6">
        <v>1818.96</v>
      </c>
      <c r="K40" s="6">
        <v>0</v>
      </c>
      <c r="L40" s="6">
        <v>10</v>
      </c>
      <c r="M40" s="6">
        <v>18.190000000000001</v>
      </c>
      <c r="N40" s="6">
        <v>54.57</v>
      </c>
      <c r="O40" s="6">
        <v>0</v>
      </c>
      <c r="P40" s="6">
        <v>24325.77</v>
      </c>
      <c r="Q40" s="6">
        <v>0</v>
      </c>
      <c r="R40" s="6">
        <v>170</v>
      </c>
      <c r="S40" s="6">
        <v>243.26</v>
      </c>
      <c r="T40" s="6">
        <v>729.77</v>
      </c>
      <c r="U40" s="6">
        <v>883.33</v>
      </c>
      <c r="V40" s="5">
        <v>35133</v>
      </c>
      <c r="W40" s="5">
        <v>43080</v>
      </c>
      <c r="X40" s="7"/>
      <c r="Y40" s="4" t="s">
        <v>324</v>
      </c>
      <c r="Z40" s="4" t="s">
        <v>325</v>
      </c>
      <c r="AA40" s="4" t="s">
        <v>326</v>
      </c>
      <c r="AB40" s="4"/>
      <c r="AC40" s="4" t="s">
        <v>327</v>
      </c>
      <c r="AD40" s="4" t="s">
        <v>271</v>
      </c>
      <c r="AE40" s="4" t="s">
        <v>328</v>
      </c>
      <c r="AF40" s="7"/>
    </row>
    <row r="41" spans="1:32">
      <c r="A41" s="4" t="s">
        <v>329</v>
      </c>
      <c r="B41" s="4" t="s">
        <v>330</v>
      </c>
      <c r="C41" s="4" t="s">
        <v>100</v>
      </c>
      <c r="D41" s="4" t="s">
        <v>331</v>
      </c>
      <c r="E41" s="4" t="s">
        <v>36</v>
      </c>
      <c r="F41" s="5">
        <v>42786</v>
      </c>
      <c r="G41" s="4" t="s">
        <v>37</v>
      </c>
      <c r="H41" s="4" t="s">
        <v>38</v>
      </c>
      <c r="I41" s="4" t="s">
        <v>38</v>
      </c>
      <c r="J41" s="6">
        <v>1333.33</v>
      </c>
      <c r="K41" s="6">
        <v>0</v>
      </c>
      <c r="L41" s="6">
        <v>40</v>
      </c>
      <c r="M41" s="6">
        <v>0</v>
      </c>
      <c r="N41" s="6">
        <v>40</v>
      </c>
      <c r="O41" s="6">
        <v>0</v>
      </c>
      <c r="P41" s="6">
        <v>54651.9</v>
      </c>
      <c r="Q41" s="6">
        <v>0</v>
      </c>
      <c r="R41" s="6">
        <v>1639.6</v>
      </c>
      <c r="S41" s="6">
        <v>0</v>
      </c>
      <c r="T41" s="6">
        <v>1639.6</v>
      </c>
      <c r="U41" s="6">
        <v>880</v>
      </c>
      <c r="V41" s="5">
        <v>31793</v>
      </c>
      <c r="W41" s="5">
        <v>42786</v>
      </c>
      <c r="X41" s="7"/>
      <c r="Y41" s="4" t="s">
        <v>332</v>
      </c>
      <c r="Z41" s="4" t="s">
        <v>333</v>
      </c>
      <c r="AA41" s="4" t="s">
        <v>334</v>
      </c>
      <c r="AB41" s="4"/>
      <c r="AC41" s="4" t="s">
        <v>327</v>
      </c>
      <c r="AD41" s="4" t="s">
        <v>271</v>
      </c>
      <c r="AE41" s="4" t="s">
        <v>328</v>
      </c>
      <c r="AF41" s="7"/>
    </row>
    <row r="42" spans="1:32">
      <c r="A42" s="4" t="s">
        <v>335</v>
      </c>
      <c r="B42" s="4" t="s">
        <v>336</v>
      </c>
      <c r="C42" s="4" t="s">
        <v>310</v>
      </c>
      <c r="D42" s="4" t="s">
        <v>337</v>
      </c>
      <c r="E42" s="4" t="s">
        <v>36</v>
      </c>
      <c r="F42" s="5">
        <v>44221</v>
      </c>
      <c r="G42" s="4" t="s">
        <v>37</v>
      </c>
      <c r="H42" s="4" t="s">
        <v>38</v>
      </c>
      <c r="I42" s="4" t="s">
        <v>38</v>
      </c>
      <c r="J42" s="6">
        <v>1639.44</v>
      </c>
      <c r="K42" s="6">
        <v>0</v>
      </c>
      <c r="L42" s="6">
        <v>49.18</v>
      </c>
      <c r="M42" s="6">
        <v>0</v>
      </c>
      <c r="N42" s="6">
        <v>49.18</v>
      </c>
      <c r="O42" s="6">
        <v>0</v>
      </c>
      <c r="P42" s="6">
        <v>17220.61</v>
      </c>
      <c r="Q42" s="6">
        <v>0</v>
      </c>
      <c r="R42" s="6">
        <v>516.61</v>
      </c>
      <c r="S42" s="6">
        <v>0</v>
      </c>
      <c r="T42" s="6">
        <v>516.61</v>
      </c>
      <c r="U42" s="6">
        <v>528.25</v>
      </c>
      <c r="V42" s="5">
        <v>21527</v>
      </c>
      <c r="W42" s="5">
        <v>44221</v>
      </c>
      <c r="X42" s="7"/>
      <c r="Y42" s="4" t="s">
        <v>338</v>
      </c>
      <c r="Z42" s="4" t="s">
        <v>339</v>
      </c>
      <c r="AA42" s="4" t="s">
        <v>340</v>
      </c>
      <c r="AB42" s="4"/>
      <c r="AC42" s="4" t="s">
        <v>341</v>
      </c>
      <c r="AD42" s="4" t="s">
        <v>271</v>
      </c>
      <c r="AE42" s="4" t="s">
        <v>342</v>
      </c>
      <c r="AF42" s="7"/>
    </row>
    <row r="43" spans="1:32">
      <c r="A43" s="4" t="s">
        <v>343</v>
      </c>
      <c r="B43" s="4" t="s">
        <v>344</v>
      </c>
      <c r="C43" s="4" t="s">
        <v>155</v>
      </c>
      <c r="D43" s="4" t="s">
        <v>345</v>
      </c>
      <c r="E43" s="4" t="s">
        <v>36</v>
      </c>
      <c r="F43" s="5">
        <v>44627</v>
      </c>
      <c r="G43" s="4" t="s">
        <v>37</v>
      </c>
      <c r="H43" s="4" t="s">
        <v>38</v>
      </c>
      <c r="I43" s="4" t="s">
        <v>38</v>
      </c>
      <c r="J43" s="6">
        <v>1760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15025</v>
      </c>
      <c r="Q43" s="6">
        <v>0</v>
      </c>
      <c r="R43" s="6">
        <v>0</v>
      </c>
      <c r="S43" s="6">
        <v>0</v>
      </c>
      <c r="T43" s="6">
        <v>0</v>
      </c>
      <c r="U43" s="6">
        <v>510.25</v>
      </c>
      <c r="V43" s="5">
        <v>36293</v>
      </c>
      <c r="W43" s="5">
        <v>44627</v>
      </c>
      <c r="X43" s="7"/>
      <c r="Y43" s="4" t="s">
        <v>346</v>
      </c>
      <c r="Z43" s="4" t="s">
        <v>347</v>
      </c>
      <c r="AA43" s="4" t="s">
        <v>348</v>
      </c>
      <c r="AB43" s="4"/>
      <c r="AC43" s="4" t="s">
        <v>349</v>
      </c>
      <c r="AD43" s="4" t="s">
        <v>271</v>
      </c>
      <c r="AE43" s="4" t="s">
        <v>350</v>
      </c>
      <c r="AF43" s="7"/>
    </row>
    <row r="44" spans="1:32">
      <c r="A44" s="4" t="s">
        <v>351</v>
      </c>
      <c r="B44" s="4" t="s">
        <v>352</v>
      </c>
      <c r="C44" s="4" t="s">
        <v>114</v>
      </c>
      <c r="D44" s="4" t="s">
        <v>353</v>
      </c>
      <c r="E44" s="4" t="s">
        <v>36</v>
      </c>
      <c r="F44" s="5">
        <v>43388</v>
      </c>
      <c r="G44" s="4" t="s">
        <v>37</v>
      </c>
      <c r="H44" s="4" t="s">
        <v>38</v>
      </c>
      <c r="I44" s="4" t="s">
        <v>38</v>
      </c>
      <c r="J44" s="6">
        <v>2514.34</v>
      </c>
      <c r="K44" s="6">
        <v>0</v>
      </c>
      <c r="L44" s="6">
        <v>15</v>
      </c>
      <c r="M44" s="6">
        <v>15</v>
      </c>
      <c r="N44" s="6">
        <v>75.430000000000007</v>
      </c>
      <c r="O44" s="6">
        <v>0</v>
      </c>
      <c r="P44" s="6">
        <v>35898.49</v>
      </c>
      <c r="Q44" s="6">
        <v>0</v>
      </c>
      <c r="R44" s="6">
        <v>255</v>
      </c>
      <c r="S44" s="6">
        <v>255</v>
      </c>
      <c r="T44" s="6">
        <v>1076.95</v>
      </c>
      <c r="U44" s="6">
        <v>996.25</v>
      </c>
      <c r="V44" s="5">
        <v>32049</v>
      </c>
      <c r="W44" s="5">
        <v>43388</v>
      </c>
      <c r="X44" s="7"/>
      <c r="Y44" s="4"/>
      <c r="Z44" s="4" t="s">
        <v>354</v>
      </c>
      <c r="AA44" s="4" t="s">
        <v>355</v>
      </c>
      <c r="AB44" s="4" t="s">
        <v>356</v>
      </c>
      <c r="AC44" s="4" t="s">
        <v>357</v>
      </c>
      <c r="AD44" s="4" t="s">
        <v>271</v>
      </c>
      <c r="AE44" s="4" t="s">
        <v>358</v>
      </c>
      <c r="AF44" s="7"/>
    </row>
    <row r="45" spans="1:32">
      <c r="A45" s="4" t="s">
        <v>359</v>
      </c>
      <c r="B45" s="4" t="s">
        <v>360</v>
      </c>
      <c r="C45" s="4" t="s">
        <v>114</v>
      </c>
      <c r="D45" s="4" t="s">
        <v>361</v>
      </c>
      <c r="E45" s="4" t="s">
        <v>36</v>
      </c>
      <c r="F45" s="5">
        <v>42646</v>
      </c>
      <c r="G45" s="4" t="s">
        <v>37</v>
      </c>
      <c r="H45" s="4" t="s">
        <v>38</v>
      </c>
      <c r="I45" s="4" t="s">
        <v>38</v>
      </c>
      <c r="J45" s="6">
        <v>1913.12</v>
      </c>
      <c r="K45" s="6">
        <v>0</v>
      </c>
      <c r="L45" s="6">
        <v>502.62</v>
      </c>
      <c r="M45" s="6">
        <v>0</v>
      </c>
      <c r="N45" s="6">
        <v>57.39</v>
      </c>
      <c r="O45" s="6">
        <v>0</v>
      </c>
      <c r="P45" s="6">
        <v>31937.98</v>
      </c>
      <c r="Q45" s="6">
        <v>0</v>
      </c>
      <c r="R45" s="6">
        <v>8427.61</v>
      </c>
      <c r="S45" s="6">
        <v>0</v>
      </c>
      <c r="T45" s="6">
        <v>958.16</v>
      </c>
      <c r="U45" s="6">
        <v>1024.75</v>
      </c>
      <c r="V45" s="5">
        <v>22576</v>
      </c>
      <c r="W45" s="5">
        <v>42646</v>
      </c>
      <c r="X45" s="7"/>
      <c r="Y45" s="4" t="s">
        <v>362</v>
      </c>
      <c r="Z45" s="4" t="s">
        <v>363</v>
      </c>
      <c r="AA45" s="4" t="s">
        <v>364</v>
      </c>
      <c r="AB45" s="4"/>
      <c r="AC45" s="4" t="s">
        <v>341</v>
      </c>
      <c r="AD45" s="4" t="s">
        <v>271</v>
      </c>
      <c r="AE45" s="4" t="s">
        <v>365</v>
      </c>
      <c r="AF45" s="7"/>
    </row>
    <row r="46" spans="1:32">
      <c r="A46" s="4" t="s">
        <v>366</v>
      </c>
      <c r="B46" s="4" t="s">
        <v>137</v>
      </c>
      <c r="C46" s="4" t="s">
        <v>34</v>
      </c>
      <c r="D46" s="4" t="s">
        <v>367</v>
      </c>
      <c r="E46" s="4" t="s">
        <v>36</v>
      </c>
      <c r="F46" s="5">
        <v>43507</v>
      </c>
      <c r="G46" s="4" t="s">
        <v>37</v>
      </c>
      <c r="H46" s="4" t="s">
        <v>38</v>
      </c>
      <c r="I46" s="4" t="s">
        <v>38</v>
      </c>
      <c r="J46" s="6">
        <v>18000.77</v>
      </c>
      <c r="K46" s="6">
        <v>0</v>
      </c>
      <c r="L46" s="6">
        <v>540.02</v>
      </c>
      <c r="M46" s="6">
        <v>0</v>
      </c>
      <c r="N46" s="6">
        <v>540.02</v>
      </c>
      <c r="O46" s="6">
        <v>0</v>
      </c>
      <c r="P46" s="6">
        <v>94864.36</v>
      </c>
      <c r="Q46" s="6">
        <v>0</v>
      </c>
      <c r="R46" s="6">
        <v>2845.96</v>
      </c>
      <c r="S46" s="6">
        <v>0</v>
      </c>
      <c r="T46" s="6">
        <v>2845.96</v>
      </c>
      <c r="U46" s="6">
        <v>912</v>
      </c>
      <c r="V46" s="5">
        <v>29099</v>
      </c>
      <c r="W46" s="5">
        <v>43507</v>
      </c>
      <c r="X46" s="7"/>
      <c r="Y46" s="4"/>
      <c r="Z46" s="4" t="s">
        <v>368</v>
      </c>
      <c r="AA46" s="4" t="s">
        <v>369</v>
      </c>
      <c r="AB46" s="4"/>
      <c r="AC46" s="4" t="s">
        <v>370</v>
      </c>
      <c r="AD46" s="4" t="s">
        <v>271</v>
      </c>
      <c r="AE46" s="4" t="s">
        <v>371</v>
      </c>
      <c r="AF46" s="7"/>
    </row>
    <row r="47" spans="1:32">
      <c r="A47" s="4" t="s">
        <v>372</v>
      </c>
      <c r="B47" s="4" t="s">
        <v>373</v>
      </c>
      <c r="C47" s="4" t="s">
        <v>374</v>
      </c>
      <c r="D47" s="4" t="s">
        <v>375</v>
      </c>
      <c r="E47" s="4" t="s">
        <v>88</v>
      </c>
      <c r="F47" s="5">
        <v>43395</v>
      </c>
      <c r="G47" s="4" t="s">
        <v>37</v>
      </c>
      <c r="H47" s="4" t="s">
        <v>38</v>
      </c>
      <c r="I47" s="4" t="s">
        <v>38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8056.39</v>
      </c>
      <c r="Q47" s="6">
        <v>0</v>
      </c>
      <c r="R47" s="6">
        <v>213.03</v>
      </c>
      <c r="S47" s="6">
        <v>0</v>
      </c>
      <c r="T47" s="6">
        <v>213.03</v>
      </c>
      <c r="U47" s="6">
        <v>88</v>
      </c>
      <c r="V47" s="5">
        <v>30166</v>
      </c>
      <c r="W47" s="5">
        <v>43395</v>
      </c>
      <c r="X47" s="5">
        <v>44565</v>
      </c>
      <c r="Y47" s="4" t="s">
        <v>376</v>
      </c>
      <c r="Z47" s="4" t="s">
        <v>377</v>
      </c>
      <c r="AA47" s="4" t="s">
        <v>378</v>
      </c>
      <c r="AB47" s="4"/>
      <c r="AC47" s="4" t="s">
        <v>379</v>
      </c>
      <c r="AD47" s="4" t="s">
        <v>380</v>
      </c>
      <c r="AE47" s="4" t="s">
        <v>381</v>
      </c>
      <c r="AF47" s="7"/>
    </row>
    <row r="48" spans="1:32">
      <c r="A48" s="4" t="s">
        <v>382</v>
      </c>
      <c r="B48" s="4" t="s">
        <v>383</v>
      </c>
      <c r="C48" s="4" t="s">
        <v>384</v>
      </c>
      <c r="D48" s="4" t="s">
        <v>385</v>
      </c>
      <c r="E48" s="4" t="s">
        <v>36</v>
      </c>
      <c r="F48" s="5">
        <v>44354</v>
      </c>
      <c r="G48" s="4" t="s">
        <v>37</v>
      </c>
      <c r="H48" s="4" t="s">
        <v>38</v>
      </c>
      <c r="I48" s="4" t="s">
        <v>38</v>
      </c>
      <c r="J48" s="6">
        <v>1848</v>
      </c>
      <c r="K48" s="6">
        <v>0</v>
      </c>
      <c r="L48" s="6">
        <v>92.4</v>
      </c>
      <c r="M48" s="6">
        <v>15</v>
      </c>
      <c r="N48" s="6">
        <v>55.44</v>
      </c>
      <c r="O48" s="6">
        <v>0</v>
      </c>
      <c r="P48" s="6">
        <v>29713.49</v>
      </c>
      <c r="Q48" s="6">
        <v>0</v>
      </c>
      <c r="R48" s="6">
        <v>1485.67</v>
      </c>
      <c r="S48" s="6">
        <v>255</v>
      </c>
      <c r="T48" s="6">
        <v>891.4</v>
      </c>
      <c r="U48" s="6">
        <v>993</v>
      </c>
      <c r="V48" s="5">
        <v>32331</v>
      </c>
      <c r="W48" s="5">
        <v>44354</v>
      </c>
      <c r="X48" s="7"/>
      <c r="Y48" s="4" t="s">
        <v>386</v>
      </c>
      <c r="Z48" s="4" t="s">
        <v>387</v>
      </c>
      <c r="AA48" s="4" t="s">
        <v>388</v>
      </c>
      <c r="AB48" s="4" t="s">
        <v>389</v>
      </c>
      <c r="AC48" s="4" t="s">
        <v>390</v>
      </c>
      <c r="AD48" s="4" t="s">
        <v>271</v>
      </c>
      <c r="AE48" s="4" t="s">
        <v>391</v>
      </c>
      <c r="AF48" s="5">
        <v>44354</v>
      </c>
    </row>
    <row r="49" spans="1:32">
      <c r="A49" s="4" t="s">
        <v>392</v>
      </c>
      <c r="B49" s="4" t="s">
        <v>393</v>
      </c>
      <c r="C49" s="4" t="s">
        <v>114</v>
      </c>
      <c r="D49" s="4" t="s">
        <v>394</v>
      </c>
      <c r="E49" s="4" t="s">
        <v>36</v>
      </c>
      <c r="F49" s="5">
        <v>44417</v>
      </c>
      <c r="G49" s="4" t="s">
        <v>513</v>
      </c>
      <c r="H49" s="4" t="s">
        <v>38</v>
      </c>
      <c r="I49" s="4" t="s">
        <v>38</v>
      </c>
      <c r="J49" s="6">
        <v>1144.44</v>
      </c>
      <c r="K49" s="6">
        <v>0</v>
      </c>
      <c r="L49" s="6">
        <v>34.33</v>
      </c>
      <c r="M49" s="6">
        <v>0</v>
      </c>
      <c r="N49" s="6">
        <v>34.33</v>
      </c>
      <c r="O49" s="6">
        <v>0</v>
      </c>
      <c r="P49" s="6">
        <v>12637.15</v>
      </c>
      <c r="Q49" s="6">
        <v>0</v>
      </c>
      <c r="R49" s="6">
        <v>191.08</v>
      </c>
      <c r="S49" s="6">
        <v>0</v>
      </c>
      <c r="T49" s="6">
        <v>191.08</v>
      </c>
      <c r="U49" s="6">
        <v>420</v>
      </c>
      <c r="V49" s="5">
        <v>36938</v>
      </c>
      <c r="W49" s="5">
        <v>44417</v>
      </c>
      <c r="X49" s="7"/>
      <c r="Y49" s="4" t="s">
        <v>395</v>
      </c>
      <c r="Z49" s="4" t="s">
        <v>396</v>
      </c>
      <c r="AA49" s="4" t="s">
        <v>397</v>
      </c>
      <c r="AB49" s="4"/>
      <c r="AC49" s="4" t="s">
        <v>398</v>
      </c>
      <c r="AD49" s="4" t="s">
        <v>271</v>
      </c>
      <c r="AE49" s="4" t="s">
        <v>399</v>
      </c>
      <c r="AF49" s="7"/>
    </row>
    <row r="50" spans="1:32">
      <c r="A50" s="4" t="s">
        <v>400</v>
      </c>
      <c r="B50" s="4" t="s">
        <v>401</v>
      </c>
      <c r="C50" s="4" t="s">
        <v>138</v>
      </c>
      <c r="D50" s="4" t="s">
        <v>402</v>
      </c>
      <c r="E50" s="4" t="s">
        <v>36</v>
      </c>
      <c r="F50" s="5">
        <v>43634</v>
      </c>
      <c r="G50" s="4" t="s">
        <v>37</v>
      </c>
      <c r="H50" s="4" t="s">
        <v>38</v>
      </c>
      <c r="I50" s="4" t="s">
        <v>38</v>
      </c>
      <c r="J50" s="6">
        <v>1867.36</v>
      </c>
      <c r="K50" s="6">
        <v>0</v>
      </c>
      <c r="L50" s="6">
        <v>56.02</v>
      </c>
      <c r="M50" s="6">
        <v>0</v>
      </c>
      <c r="N50" s="6">
        <v>56.02</v>
      </c>
      <c r="O50" s="6">
        <v>0</v>
      </c>
      <c r="P50" s="6">
        <v>27495.15</v>
      </c>
      <c r="Q50" s="6">
        <v>0</v>
      </c>
      <c r="R50" s="6">
        <v>824.86</v>
      </c>
      <c r="S50" s="6">
        <v>0</v>
      </c>
      <c r="T50" s="6">
        <v>824.86</v>
      </c>
      <c r="U50" s="6">
        <v>887.75</v>
      </c>
      <c r="V50" s="5">
        <v>24385</v>
      </c>
      <c r="W50" s="5">
        <v>43634</v>
      </c>
      <c r="X50" s="7"/>
      <c r="Y50" s="4" t="s">
        <v>403</v>
      </c>
      <c r="Z50" s="4" t="s">
        <v>404</v>
      </c>
      <c r="AA50" s="4" t="s">
        <v>405</v>
      </c>
      <c r="AB50" s="4"/>
      <c r="AC50" s="4" t="s">
        <v>341</v>
      </c>
      <c r="AD50" s="4" t="s">
        <v>271</v>
      </c>
      <c r="AE50" s="4" t="s">
        <v>406</v>
      </c>
      <c r="AF50" s="7"/>
    </row>
    <row r="51" spans="1:32">
      <c r="A51" s="4" t="s">
        <v>407</v>
      </c>
      <c r="B51" s="4" t="s">
        <v>408</v>
      </c>
      <c r="C51" s="4" t="s">
        <v>129</v>
      </c>
      <c r="D51" s="4" t="s">
        <v>409</v>
      </c>
      <c r="E51" s="4" t="s">
        <v>36</v>
      </c>
      <c r="F51" s="5">
        <v>44515</v>
      </c>
      <c r="G51" s="4" t="s">
        <v>37</v>
      </c>
      <c r="H51" s="4" t="s">
        <v>38</v>
      </c>
      <c r="I51" s="4" t="s">
        <v>38</v>
      </c>
      <c r="J51" s="6">
        <v>1584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25596</v>
      </c>
      <c r="Q51" s="6">
        <v>0</v>
      </c>
      <c r="R51" s="6">
        <v>0</v>
      </c>
      <c r="S51" s="6">
        <v>0</v>
      </c>
      <c r="T51" s="6">
        <v>0</v>
      </c>
      <c r="U51" s="6">
        <v>923.25</v>
      </c>
      <c r="V51" s="5">
        <v>34400</v>
      </c>
      <c r="W51" s="5">
        <v>44515</v>
      </c>
      <c r="X51" s="7"/>
      <c r="Y51" s="4" t="s">
        <v>410</v>
      </c>
      <c r="Z51" s="4" t="s">
        <v>411</v>
      </c>
      <c r="AA51" s="4" t="s">
        <v>412</v>
      </c>
      <c r="AB51" s="4"/>
      <c r="AC51" s="4" t="s">
        <v>270</v>
      </c>
      <c r="AD51" s="4" t="s">
        <v>271</v>
      </c>
      <c r="AE51" s="4" t="s">
        <v>413</v>
      </c>
      <c r="AF51" s="7"/>
    </row>
    <row r="52" spans="1:32">
      <c r="A52" s="4" t="s">
        <v>414</v>
      </c>
      <c r="B52" s="4" t="s">
        <v>170</v>
      </c>
      <c r="C52" s="4" t="s">
        <v>290</v>
      </c>
      <c r="D52" s="4" t="s">
        <v>409</v>
      </c>
      <c r="E52" s="4" t="s">
        <v>36</v>
      </c>
      <c r="F52" s="5">
        <v>44329</v>
      </c>
      <c r="G52" s="4" t="s">
        <v>86</v>
      </c>
      <c r="H52" s="4" t="s">
        <v>38</v>
      </c>
      <c r="I52" s="4" t="s">
        <v>38</v>
      </c>
      <c r="J52" s="6">
        <v>1005.84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12962.77</v>
      </c>
      <c r="Q52" s="6">
        <v>0</v>
      </c>
      <c r="R52" s="6">
        <v>0</v>
      </c>
      <c r="S52" s="6">
        <v>0</v>
      </c>
      <c r="T52" s="6">
        <v>0</v>
      </c>
      <c r="U52" s="6">
        <v>472.25</v>
      </c>
      <c r="V52" s="5">
        <v>37525</v>
      </c>
      <c r="W52" s="5">
        <v>44329</v>
      </c>
      <c r="X52" s="7"/>
      <c r="Y52" s="4" t="s">
        <v>415</v>
      </c>
      <c r="Z52" s="4" t="s">
        <v>416</v>
      </c>
      <c r="AA52" s="4" t="s">
        <v>417</v>
      </c>
      <c r="AB52" s="4"/>
      <c r="AC52" s="4" t="s">
        <v>418</v>
      </c>
      <c r="AD52" s="4" t="s">
        <v>271</v>
      </c>
      <c r="AE52" s="4" t="s">
        <v>399</v>
      </c>
      <c r="AF52" s="7"/>
    </row>
    <row r="53" spans="1:32">
      <c r="A53" s="4" t="s">
        <v>419</v>
      </c>
      <c r="B53" s="4" t="s">
        <v>420</v>
      </c>
      <c r="C53" s="4" t="s">
        <v>290</v>
      </c>
      <c r="D53" s="4" t="s">
        <v>421</v>
      </c>
      <c r="E53" s="4" t="s">
        <v>36</v>
      </c>
      <c r="F53" s="5">
        <v>42508</v>
      </c>
      <c r="G53" s="4" t="s">
        <v>37</v>
      </c>
      <c r="H53" s="4" t="s">
        <v>38</v>
      </c>
      <c r="I53" s="4" t="s">
        <v>38</v>
      </c>
      <c r="J53" s="6">
        <v>1000</v>
      </c>
      <c r="K53" s="6">
        <v>0</v>
      </c>
      <c r="L53" s="6">
        <v>30</v>
      </c>
      <c r="M53" s="6">
        <v>0</v>
      </c>
      <c r="N53" s="6">
        <v>30</v>
      </c>
      <c r="O53" s="6">
        <v>0</v>
      </c>
      <c r="P53" s="6">
        <v>40270.86</v>
      </c>
      <c r="Q53" s="6">
        <v>0</v>
      </c>
      <c r="R53" s="6">
        <v>1208.17</v>
      </c>
      <c r="S53" s="6">
        <v>0</v>
      </c>
      <c r="T53" s="6">
        <v>1208.17</v>
      </c>
      <c r="U53" s="6">
        <v>912</v>
      </c>
      <c r="V53" s="5">
        <v>31069</v>
      </c>
      <c r="W53" s="5">
        <v>42508</v>
      </c>
      <c r="X53" s="7"/>
      <c r="Y53" s="4" t="s">
        <v>422</v>
      </c>
      <c r="Z53" s="4" t="s">
        <v>423</v>
      </c>
      <c r="AA53" s="4" t="s">
        <v>424</v>
      </c>
      <c r="AB53" s="4" t="s">
        <v>425</v>
      </c>
      <c r="AC53" s="4" t="s">
        <v>426</v>
      </c>
      <c r="AD53" s="4" t="s">
        <v>42</v>
      </c>
      <c r="AE53" s="4" t="s">
        <v>427</v>
      </c>
      <c r="AF53" s="7"/>
    </row>
    <row r="54" spans="1:32">
      <c r="A54" s="4" t="s">
        <v>428</v>
      </c>
      <c r="B54" s="4" t="s">
        <v>429</v>
      </c>
      <c r="C54" s="4" t="s">
        <v>207</v>
      </c>
      <c r="D54" s="4" t="s">
        <v>430</v>
      </c>
      <c r="E54" s="4" t="s">
        <v>36</v>
      </c>
      <c r="F54" s="5">
        <v>44165</v>
      </c>
      <c r="G54" s="4" t="s">
        <v>37</v>
      </c>
      <c r="H54" s="4" t="s">
        <v>38</v>
      </c>
      <c r="I54" s="4" t="s">
        <v>38</v>
      </c>
      <c r="J54" s="6">
        <v>1904.77</v>
      </c>
      <c r="K54" s="6">
        <v>0</v>
      </c>
      <c r="L54" s="6">
        <v>57.14</v>
      </c>
      <c r="M54" s="6">
        <v>0</v>
      </c>
      <c r="N54" s="6">
        <v>57.14</v>
      </c>
      <c r="O54" s="6">
        <v>0</v>
      </c>
      <c r="P54" s="6">
        <v>31477.040000000001</v>
      </c>
      <c r="Q54" s="6">
        <v>0</v>
      </c>
      <c r="R54" s="6">
        <v>944.32</v>
      </c>
      <c r="S54" s="6">
        <v>0</v>
      </c>
      <c r="T54" s="6">
        <v>944.32</v>
      </c>
      <c r="U54" s="6">
        <v>960.75</v>
      </c>
      <c r="V54" s="5">
        <v>31250</v>
      </c>
      <c r="W54" s="5">
        <v>44165</v>
      </c>
      <c r="X54" s="7"/>
      <c r="Y54" s="4"/>
      <c r="Z54" s="4" t="s">
        <v>431</v>
      </c>
      <c r="AA54" s="4" t="s">
        <v>432</v>
      </c>
      <c r="AB54" s="4"/>
      <c r="AC54" s="4" t="s">
        <v>433</v>
      </c>
      <c r="AD54" s="4" t="s">
        <v>42</v>
      </c>
      <c r="AE54" s="4" t="s">
        <v>434</v>
      </c>
      <c r="AF54" s="7"/>
    </row>
    <row r="55" spans="1:32">
      <c r="A55" s="4" t="s">
        <v>435</v>
      </c>
      <c r="B55" s="4" t="s">
        <v>408</v>
      </c>
      <c r="C55" s="4"/>
      <c r="D55" s="4" t="s">
        <v>436</v>
      </c>
      <c r="E55" s="4" t="s">
        <v>36</v>
      </c>
      <c r="F55" s="5">
        <v>43262</v>
      </c>
      <c r="G55" s="4" t="s">
        <v>37</v>
      </c>
      <c r="H55" s="4" t="s">
        <v>38</v>
      </c>
      <c r="I55" s="4" t="s">
        <v>38</v>
      </c>
      <c r="J55" s="6">
        <v>1504.38</v>
      </c>
      <c r="K55" s="6">
        <v>0</v>
      </c>
      <c r="L55" s="6">
        <v>0</v>
      </c>
      <c r="M55" s="6">
        <v>0</v>
      </c>
      <c r="N55" s="6">
        <v>45.13</v>
      </c>
      <c r="O55" s="6">
        <v>0</v>
      </c>
      <c r="P55" s="6">
        <v>26150.91</v>
      </c>
      <c r="Q55" s="6">
        <v>0</v>
      </c>
      <c r="R55" s="6">
        <v>0</v>
      </c>
      <c r="S55" s="6">
        <v>0</v>
      </c>
      <c r="T55" s="6">
        <v>784.51</v>
      </c>
      <c r="U55" s="6">
        <v>1012.75</v>
      </c>
      <c r="V55" s="5">
        <v>32238</v>
      </c>
      <c r="W55" s="5">
        <v>43262</v>
      </c>
      <c r="X55" s="7"/>
      <c r="Y55" s="4"/>
      <c r="Z55" s="4" t="s">
        <v>437</v>
      </c>
      <c r="AA55" s="4" t="s">
        <v>438</v>
      </c>
      <c r="AB55" s="4"/>
      <c r="AC55" s="4" t="s">
        <v>439</v>
      </c>
      <c r="AD55" s="4" t="s">
        <v>42</v>
      </c>
      <c r="AE55" s="4" t="s">
        <v>440</v>
      </c>
      <c r="AF55" s="7"/>
    </row>
    <row r="56" spans="1:32">
      <c r="A56" s="4" t="s">
        <v>441</v>
      </c>
      <c r="B56" s="4" t="s">
        <v>442</v>
      </c>
      <c r="C56" s="4" t="s">
        <v>88</v>
      </c>
      <c r="D56" s="4" t="s">
        <v>443</v>
      </c>
      <c r="E56" s="4" t="s">
        <v>36</v>
      </c>
      <c r="F56" s="5">
        <v>42912</v>
      </c>
      <c r="G56" s="4" t="s">
        <v>37</v>
      </c>
      <c r="H56" s="4" t="s">
        <v>38</v>
      </c>
      <c r="I56" s="4" t="s">
        <v>38</v>
      </c>
      <c r="J56" s="6">
        <v>45699.44</v>
      </c>
      <c r="K56" s="6">
        <v>0</v>
      </c>
      <c r="L56" s="6">
        <v>4112.95</v>
      </c>
      <c r="M56" s="6">
        <v>1370.98</v>
      </c>
      <c r="N56" s="6">
        <v>1370.98</v>
      </c>
      <c r="O56" s="6">
        <v>0</v>
      </c>
      <c r="P56" s="6">
        <v>174553.35</v>
      </c>
      <c r="Q56" s="6">
        <v>0</v>
      </c>
      <c r="R56" s="6">
        <v>15709.82</v>
      </c>
      <c r="S56" s="6">
        <v>5236.6400000000003</v>
      </c>
      <c r="T56" s="6">
        <v>5236.6400000000003</v>
      </c>
      <c r="U56" s="6">
        <v>904</v>
      </c>
      <c r="V56" s="5">
        <v>24939</v>
      </c>
      <c r="W56" s="5">
        <v>42912</v>
      </c>
      <c r="X56" s="7"/>
      <c r="Y56" s="4" t="s">
        <v>444</v>
      </c>
      <c r="Z56" s="4" t="s">
        <v>445</v>
      </c>
      <c r="AA56" s="4" t="s">
        <v>446</v>
      </c>
      <c r="AB56" s="4" t="s">
        <v>447</v>
      </c>
      <c r="AC56" s="4" t="s">
        <v>50</v>
      </c>
      <c r="AD56" s="4" t="s">
        <v>42</v>
      </c>
      <c r="AE56" s="4" t="s">
        <v>448</v>
      </c>
      <c r="AF56" s="7"/>
    </row>
    <row r="57" spans="1:32">
      <c r="A57" s="4" t="s">
        <v>449</v>
      </c>
      <c r="B57" s="4" t="s">
        <v>215</v>
      </c>
      <c r="C57" s="4" t="s">
        <v>114</v>
      </c>
      <c r="D57" s="4" t="s">
        <v>450</v>
      </c>
      <c r="E57" s="4" t="s">
        <v>36</v>
      </c>
      <c r="F57" s="5">
        <v>44438</v>
      </c>
      <c r="G57" s="4" t="s">
        <v>37</v>
      </c>
      <c r="H57" s="4" t="s">
        <v>38</v>
      </c>
      <c r="I57" s="4" t="s">
        <v>38</v>
      </c>
      <c r="J57" s="6">
        <v>1295.3599999999999</v>
      </c>
      <c r="K57" s="6">
        <v>0</v>
      </c>
      <c r="L57" s="6">
        <v>38.86</v>
      </c>
      <c r="M57" s="6">
        <v>0</v>
      </c>
      <c r="N57" s="6">
        <v>38.86</v>
      </c>
      <c r="O57" s="6">
        <v>0</v>
      </c>
      <c r="P57" s="6">
        <v>19562.68</v>
      </c>
      <c r="Q57" s="6">
        <v>0</v>
      </c>
      <c r="R57" s="6">
        <v>296.07</v>
      </c>
      <c r="S57" s="6">
        <v>0</v>
      </c>
      <c r="T57" s="6">
        <v>296.07</v>
      </c>
      <c r="U57" s="6">
        <v>885.5</v>
      </c>
      <c r="V57" s="5">
        <v>22774</v>
      </c>
      <c r="W57" s="5">
        <v>44438</v>
      </c>
      <c r="X57" s="7"/>
      <c r="Y57" s="4"/>
      <c r="Z57" s="4" t="s">
        <v>451</v>
      </c>
      <c r="AA57" s="4" t="s">
        <v>452</v>
      </c>
      <c r="AB57" s="4"/>
      <c r="AC57" s="4" t="s">
        <v>453</v>
      </c>
      <c r="AD57" s="4" t="s">
        <v>42</v>
      </c>
      <c r="AE57" s="4" t="s">
        <v>454</v>
      </c>
      <c r="AF57" s="7"/>
    </row>
    <row r="58" spans="1:32">
      <c r="A58" s="4" t="s">
        <v>455</v>
      </c>
      <c r="B58" s="4" t="s">
        <v>456</v>
      </c>
      <c r="C58" s="4" t="s">
        <v>114</v>
      </c>
      <c r="D58" s="4" t="s">
        <v>457</v>
      </c>
      <c r="E58" s="4" t="s">
        <v>36</v>
      </c>
      <c r="F58" s="5">
        <v>44256</v>
      </c>
      <c r="G58" s="4" t="s">
        <v>37</v>
      </c>
      <c r="H58" s="4" t="s">
        <v>38</v>
      </c>
      <c r="I58" s="4" t="s">
        <v>38</v>
      </c>
      <c r="J58" s="6">
        <v>1371.17</v>
      </c>
      <c r="K58" s="6">
        <v>0</v>
      </c>
      <c r="L58" s="6">
        <v>41.14</v>
      </c>
      <c r="M58" s="6">
        <v>0</v>
      </c>
      <c r="N58" s="6">
        <v>41.14</v>
      </c>
      <c r="O58" s="6">
        <v>0</v>
      </c>
      <c r="P58" s="6">
        <v>21233.96</v>
      </c>
      <c r="Q58" s="6">
        <v>0</v>
      </c>
      <c r="R58" s="6">
        <v>637.01</v>
      </c>
      <c r="S58" s="6">
        <v>0</v>
      </c>
      <c r="T58" s="6">
        <v>637.01</v>
      </c>
      <c r="U58" s="6">
        <v>902.75</v>
      </c>
      <c r="V58" s="5">
        <v>26868</v>
      </c>
      <c r="W58" s="5">
        <v>44256</v>
      </c>
      <c r="X58" s="7"/>
      <c r="Y58" s="4" t="s">
        <v>458</v>
      </c>
      <c r="Z58" s="4" t="s">
        <v>459</v>
      </c>
      <c r="AA58" s="4" t="s">
        <v>460</v>
      </c>
      <c r="AB58" s="4"/>
      <c r="AC58" s="4" t="s">
        <v>461</v>
      </c>
      <c r="AD58" s="4" t="s">
        <v>42</v>
      </c>
      <c r="AE58" s="4" t="s">
        <v>462</v>
      </c>
      <c r="AF58" s="7"/>
    </row>
    <row r="59" spans="1:32">
      <c r="A59" s="4" t="s">
        <v>463</v>
      </c>
      <c r="B59" s="4" t="s">
        <v>464</v>
      </c>
      <c r="C59" s="4"/>
      <c r="D59" s="4" t="s">
        <v>465</v>
      </c>
      <c r="E59" s="4" t="s">
        <v>36</v>
      </c>
      <c r="F59" s="5">
        <v>44441</v>
      </c>
      <c r="G59" s="4" t="s">
        <v>37</v>
      </c>
      <c r="H59" s="4" t="s">
        <v>38</v>
      </c>
      <c r="I59" s="4" t="s">
        <v>38</v>
      </c>
      <c r="J59" s="6">
        <v>1332.9</v>
      </c>
      <c r="K59" s="6">
        <v>0</v>
      </c>
      <c r="L59" s="6">
        <v>39.99</v>
      </c>
      <c r="M59" s="6">
        <v>0</v>
      </c>
      <c r="N59" s="6">
        <v>39.99</v>
      </c>
      <c r="O59" s="6">
        <v>0</v>
      </c>
      <c r="P59" s="6">
        <v>19255.91</v>
      </c>
      <c r="Q59" s="6">
        <v>0</v>
      </c>
      <c r="R59" s="6">
        <v>297.12</v>
      </c>
      <c r="S59" s="6">
        <v>0</v>
      </c>
      <c r="T59" s="6">
        <v>297.12</v>
      </c>
      <c r="U59" s="6">
        <v>837.5</v>
      </c>
      <c r="V59" s="5">
        <v>35069</v>
      </c>
      <c r="W59" s="5">
        <v>44441</v>
      </c>
      <c r="X59" s="7"/>
      <c r="Y59" s="4" t="s">
        <v>466</v>
      </c>
      <c r="Z59" s="4" t="s">
        <v>467</v>
      </c>
      <c r="AA59" s="4" t="s">
        <v>468</v>
      </c>
      <c r="AB59" s="4"/>
      <c r="AC59" s="4" t="s">
        <v>433</v>
      </c>
      <c r="AD59" s="4" t="s">
        <v>42</v>
      </c>
      <c r="AE59" s="4" t="s">
        <v>469</v>
      </c>
      <c r="AF59" s="7"/>
    </row>
    <row r="60" spans="1:32">
      <c r="A60" s="4" t="s">
        <v>470</v>
      </c>
      <c r="B60" s="4" t="s">
        <v>45</v>
      </c>
      <c r="C60" s="4" t="s">
        <v>114</v>
      </c>
      <c r="D60" s="4" t="s">
        <v>471</v>
      </c>
      <c r="E60" s="4" t="s">
        <v>36</v>
      </c>
      <c r="F60" s="5">
        <v>43080</v>
      </c>
      <c r="G60" s="4" t="s">
        <v>37</v>
      </c>
      <c r="H60" s="4" t="s">
        <v>38</v>
      </c>
      <c r="I60" s="4" t="s">
        <v>38</v>
      </c>
      <c r="J60" s="6">
        <v>1600.06</v>
      </c>
      <c r="K60" s="6">
        <v>0</v>
      </c>
      <c r="L60" s="6">
        <v>48</v>
      </c>
      <c r="M60" s="6">
        <v>0</v>
      </c>
      <c r="N60" s="6">
        <v>48</v>
      </c>
      <c r="O60" s="6">
        <v>0</v>
      </c>
      <c r="P60" s="6">
        <v>30691.82</v>
      </c>
      <c r="Q60" s="6">
        <v>0</v>
      </c>
      <c r="R60" s="6">
        <v>920.75</v>
      </c>
      <c r="S60" s="6">
        <v>0</v>
      </c>
      <c r="T60" s="6">
        <v>920.75</v>
      </c>
      <c r="U60" s="6">
        <v>1103.25</v>
      </c>
      <c r="V60" s="5">
        <v>23635</v>
      </c>
      <c r="W60" s="5">
        <v>43080</v>
      </c>
      <c r="X60" s="7"/>
      <c r="Y60" s="4" t="s">
        <v>472</v>
      </c>
      <c r="Z60" s="4" t="s">
        <v>473</v>
      </c>
      <c r="AA60" s="4" t="s">
        <v>474</v>
      </c>
      <c r="AB60" s="4" t="s">
        <v>475</v>
      </c>
      <c r="AC60" s="4" t="s">
        <v>476</v>
      </c>
      <c r="AD60" s="4" t="s">
        <v>42</v>
      </c>
      <c r="AE60" s="4" t="s">
        <v>477</v>
      </c>
      <c r="AF60" s="7"/>
    </row>
    <row r="61" spans="1:32">
      <c r="A61" s="4" t="s">
        <v>478</v>
      </c>
      <c r="B61" s="4" t="s">
        <v>420</v>
      </c>
      <c r="C61" s="4" t="s">
        <v>310</v>
      </c>
      <c r="D61" s="4" t="s">
        <v>479</v>
      </c>
      <c r="E61" s="4" t="s">
        <v>36</v>
      </c>
      <c r="F61" s="5">
        <v>44067</v>
      </c>
      <c r="G61" s="4" t="s">
        <v>37</v>
      </c>
      <c r="H61" s="4" t="s">
        <v>38</v>
      </c>
      <c r="I61" s="4" t="s">
        <v>38</v>
      </c>
      <c r="J61" s="6">
        <v>2288.09</v>
      </c>
      <c r="K61" s="6">
        <v>0</v>
      </c>
      <c r="L61" s="6">
        <v>68.64</v>
      </c>
      <c r="M61" s="6">
        <v>0</v>
      </c>
      <c r="N61" s="6">
        <v>68.64</v>
      </c>
      <c r="O61" s="6">
        <v>0</v>
      </c>
      <c r="P61" s="6">
        <v>40695.03</v>
      </c>
      <c r="Q61" s="6">
        <v>0</v>
      </c>
      <c r="R61" s="6">
        <v>1220.83</v>
      </c>
      <c r="S61" s="6">
        <v>0</v>
      </c>
      <c r="T61" s="6">
        <v>1220.83</v>
      </c>
      <c r="U61" s="6">
        <v>880</v>
      </c>
      <c r="V61" s="5">
        <v>35977</v>
      </c>
      <c r="W61" s="5">
        <v>44067</v>
      </c>
      <c r="X61" s="7"/>
      <c r="Y61" s="4" t="s">
        <v>480</v>
      </c>
      <c r="Z61" s="4" t="s">
        <v>481</v>
      </c>
      <c r="AA61" s="4" t="s">
        <v>482</v>
      </c>
      <c r="AB61" s="4"/>
      <c r="AC61" s="4" t="s">
        <v>483</v>
      </c>
      <c r="AD61" s="4" t="s">
        <v>42</v>
      </c>
      <c r="AE61" s="4" t="s">
        <v>484</v>
      </c>
      <c r="AF61" s="7"/>
    </row>
    <row r="62" spans="1:32">
      <c r="A62" s="4" t="s">
        <v>485</v>
      </c>
      <c r="B62" s="4" t="s">
        <v>486</v>
      </c>
      <c r="C62" s="4" t="s">
        <v>487</v>
      </c>
      <c r="D62" s="4" t="s">
        <v>488</v>
      </c>
      <c r="E62" s="4" t="s">
        <v>36</v>
      </c>
      <c r="F62" s="5">
        <v>42445</v>
      </c>
      <c r="G62" s="4" t="s">
        <v>37</v>
      </c>
      <c r="H62" s="4" t="s">
        <v>38</v>
      </c>
      <c r="I62" s="4" t="s">
        <v>38</v>
      </c>
      <c r="J62" s="6">
        <v>2404.5100000000002</v>
      </c>
      <c r="K62" s="6">
        <v>0</v>
      </c>
      <c r="L62" s="6">
        <v>72.14</v>
      </c>
      <c r="M62" s="6">
        <v>0</v>
      </c>
      <c r="N62" s="6">
        <v>72.14</v>
      </c>
      <c r="O62" s="6">
        <v>0</v>
      </c>
      <c r="P62" s="6">
        <v>32277.96</v>
      </c>
      <c r="Q62" s="6">
        <v>0</v>
      </c>
      <c r="R62" s="6">
        <v>968.33</v>
      </c>
      <c r="S62" s="6">
        <v>0</v>
      </c>
      <c r="T62" s="6">
        <v>968.33</v>
      </c>
      <c r="U62" s="6">
        <v>982</v>
      </c>
      <c r="V62" s="5">
        <v>33329</v>
      </c>
      <c r="W62" s="5">
        <v>42445</v>
      </c>
      <c r="X62" s="7"/>
      <c r="Y62" s="4"/>
      <c r="Z62" s="4" t="s">
        <v>489</v>
      </c>
      <c r="AA62" s="4" t="s">
        <v>490</v>
      </c>
      <c r="AB62" s="4"/>
      <c r="AC62" s="4" t="s">
        <v>390</v>
      </c>
      <c r="AD62" s="4" t="s">
        <v>271</v>
      </c>
      <c r="AE62" s="4" t="s">
        <v>391</v>
      </c>
      <c r="AF62" s="7"/>
    </row>
    <row r="63" spans="1:32">
      <c r="A63" s="4" t="s">
        <v>491</v>
      </c>
      <c r="B63" s="4" t="s">
        <v>344</v>
      </c>
      <c r="C63" s="4"/>
      <c r="D63" s="4" t="s">
        <v>492</v>
      </c>
      <c r="E63" s="4" t="s">
        <v>36</v>
      </c>
      <c r="F63" s="5">
        <v>44599</v>
      </c>
      <c r="G63" s="4" t="s">
        <v>37</v>
      </c>
      <c r="H63" s="4" t="s">
        <v>38</v>
      </c>
      <c r="I63" s="4" t="s">
        <v>38</v>
      </c>
      <c r="J63" s="6">
        <v>1540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17052</v>
      </c>
      <c r="Q63" s="6">
        <v>0</v>
      </c>
      <c r="R63" s="6">
        <v>0</v>
      </c>
      <c r="S63" s="6">
        <v>0</v>
      </c>
      <c r="T63" s="6">
        <v>0</v>
      </c>
      <c r="U63" s="6">
        <v>517</v>
      </c>
      <c r="V63" s="5">
        <v>30050</v>
      </c>
      <c r="W63" s="5">
        <v>44599</v>
      </c>
      <c r="X63" s="7"/>
      <c r="Y63" s="4"/>
      <c r="Z63" s="4" t="s">
        <v>493</v>
      </c>
      <c r="AA63" s="4" t="s">
        <v>494</v>
      </c>
      <c r="AB63" s="4"/>
      <c r="AC63" s="4" t="s">
        <v>495</v>
      </c>
      <c r="AD63" s="4" t="s">
        <v>271</v>
      </c>
      <c r="AE63" s="4" t="s">
        <v>496</v>
      </c>
      <c r="AF63" s="7"/>
    </row>
    <row r="64" spans="1:32">
      <c r="A64" s="4" t="s">
        <v>497</v>
      </c>
      <c r="B64" s="4" t="s">
        <v>498</v>
      </c>
      <c r="C64" s="4" t="s">
        <v>207</v>
      </c>
      <c r="D64" s="4" t="s">
        <v>499</v>
      </c>
      <c r="E64" s="4" t="s">
        <v>36</v>
      </c>
      <c r="F64" s="5">
        <v>44657</v>
      </c>
      <c r="G64" s="4" t="s">
        <v>37</v>
      </c>
      <c r="H64" s="4" t="s">
        <v>38</v>
      </c>
      <c r="I64" s="4" t="s">
        <v>38</v>
      </c>
      <c r="J64" s="6">
        <v>1584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8982.9</v>
      </c>
      <c r="Q64" s="6">
        <v>0</v>
      </c>
      <c r="R64" s="6">
        <v>0</v>
      </c>
      <c r="S64" s="6">
        <v>0</v>
      </c>
      <c r="T64" s="6">
        <v>0</v>
      </c>
      <c r="U64" s="6">
        <v>341</v>
      </c>
      <c r="V64" s="5">
        <v>21486</v>
      </c>
      <c r="W64" s="5">
        <v>44657</v>
      </c>
      <c r="X64" s="7"/>
      <c r="Y64" s="4" t="s">
        <v>500</v>
      </c>
      <c r="Z64" s="4" t="s">
        <v>501</v>
      </c>
      <c r="AA64" s="4" t="s">
        <v>502</v>
      </c>
      <c r="AB64" s="4"/>
      <c r="AC64" s="4" t="s">
        <v>503</v>
      </c>
      <c r="AD64" s="4" t="s">
        <v>271</v>
      </c>
      <c r="AE64" s="4" t="s">
        <v>504</v>
      </c>
      <c r="AF64" s="7"/>
    </row>
    <row r="65" spans="1:32">
      <c r="A65" s="4" t="s">
        <v>505</v>
      </c>
      <c r="B65" s="4" t="s">
        <v>506</v>
      </c>
      <c r="C65" s="4"/>
      <c r="D65" s="4" t="s">
        <v>507</v>
      </c>
      <c r="E65" s="4" t="s">
        <v>36</v>
      </c>
      <c r="F65" s="5">
        <v>44669</v>
      </c>
      <c r="G65" s="4" t="s">
        <v>37</v>
      </c>
      <c r="H65" s="4" t="s">
        <v>38</v>
      </c>
      <c r="I65" s="4" t="s">
        <v>38</v>
      </c>
      <c r="J65" s="6">
        <v>1584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6673.95</v>
      </c>
      <c r="Q65" s="6">
        <v>0</v>
      </c>
      <c r="R65" s="6">
        <v>0</v>
      </c>
      <c r="S65" s="6">
        <v>0</v>
      </c>
      <c r="T65" s="6">
        <v>0</v>
      </c>
      <c r="U65" s="6">
        <v>246.5</v>
      </c>
      <c r="V65" s="5">
        <v>33928</v>
      </c>
      <c r="W65" s="5">
        <v>44669</v>
      </c>
      <c r="X65" s="7"/>
      <c r="Y65" s="4"/>
      <c r="Z65" s="4" t="s">
        <v>508</v>
      </c>
      <c r="AA65" s="4" t="s">
        <v>509</v>
      </c>
      <c r="AB65" s="4"/>
      <c r="AC65" s="4" t="s">
        <v>510</v>
      </c>
      <c r="AD65" s="4" t="s">
        <v>42</v>
      </c>
      <c r="AE65" s="4" t="s">
        <v>511</v>
      </c>
      <c r="AF65" s="7"/>
    </row>
    <row r="66" spans="1:32">
      <c r="A66" s="11" t="s">
        <v>512</v>
      </c>
      <c r="B66" s="12"/>
      <c r="C66" s="12"/>
      <c r="D66" s="12"/>
      <c r="E66" s="12"/>
      <c r="F66" s="12"/>
      <c r="G66" s="12"/>
      <c r="H66" s="12"/>
      <c r="I66" s="12"/>
      <c r="J66" s="9">
        <v>222735.81</v>
      </c>
      <c r="K66" s="9">
        <v>0</v>
      </c>
      <c r="L66" s="10">
        <f>SUM(L2:L65)</f>
        <v>14469.589999999998</v>
      </c>
      <c r="M66" s="10">
        <f>SUM(M2:M65)</f>
        <v>1419.17</v>
      </c>
      <c r="N66" s="8" t="s">
        <v>38</v>
      </c>
      <c r="O66" s="8" t="s">
        <v>38</v>
      </c>
      <c r="P66" s="9">
        <v>2243477.17</v>
      </c>
      <c r="Q66" s="9">
        <v>0</v>
      </c>
      <c r="R66" s="8" t="s">
        <v>38</v>
      </c>
      <c r="S66" s="8" t="s">
        <v>38</v>
      </c>
      <c r="T66" s="8" t="s">
        <v>38</v>
      </c>
      <c r="U66" s="8" t="s">
        <v>38</v>
      </c>
      <c r="V66" s="8" t="s">
        <v>38</v>
      </c>
      <c r="W66" s="8" t="s">
        <v>38</v>
      </c>
      <c r="X66" s="8" t="s">
        <v>38</v>
      </c>
      <c r="Y66" s="8" t="s">
        <v>38</v>
      </c>
      <c r="Z66" s="8" t="s">
        <v>38</v>
      </c>
      <c r="AA66" s="8" t="s">
        <v>38</v>
      </c>
      <c r="AB66" s="8" t="s">
        <v>38</v>
      </c>
      <c r="AC66" s="8" t="s">
        <v>38</v>
      </c>
      <c r="AD66" s="8" t="s">
        <v>38</v>
      </c>
      <c r="AE66" s="8" t="s">
        <v>38</v>
      </c>
      <c r="AF66" s="8" t="s">
        <v>38</v>
      </c>
    </row>
  </sheetData>
  <mergeCells count="1">
    <mergeCell ref="A66:I66"/>
  </mergeCells>
  <pageMargins left="0" right="0" top="0" bottom="0" header="0" footer="0"/>
  <pageSetup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F6968896F82641B6382947BB74700A" ma:contentTypeVersion="2" ma:contentTypeDescription="Create a new document." ma:contentTypeScope="" ma:versionID="253127791092df0c247beb09f22edd99">
  <xsd:schema xmlns:xsd="http://www.w3.org/2001/XMLSchema" xmlns:xs="http://www.w3.org/2001/XMLSchema" xmlns:p="http://schemas.microsoft.com/office/2006/metadata/properties" xmlns:ns3="522b667b-549e-4cd4-b579-24c35adea452" targetNamespace="http://schemas.microsoft.com/office/2006/metadata/properties" ma:root="true" ma:fieldsID="ca418c8d7c69e0f0d6aa74378204f726" ns3:_="">
    <xsd:import namespace="522b667b-549e-4cd4-b579-24c35adea4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b667b-549e-4cd4-b579-24c35adea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F124B-3DF9-4320-81CB-E848A0324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b667b-549e-4cd4-b579-24c35adea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6697F9-0C6C-4066-B0DB-EFDB2D744D77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522b667b-549e-4cd4-b579-24c35adea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D7E755D-7EBE-46B7-BF82-AAB5ED18F0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Robbyn Seier</dc:creator>
  <cp:lastModifiedBy>Ann Maynard</cp:lastModifiedBy>
  <dcterms:created xsi:type="dcterms:W3CDTF">2022-06-07T17:41:39Z</dcterms:created>
  <dcterms:modified xsi:type="dcterms:W3CDTF">2022-06-08T14:08:44Z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0x01010093F6968896F82641B6382947BB74700A</vt:lpwstr>
  </property>
</Properties>
</file>