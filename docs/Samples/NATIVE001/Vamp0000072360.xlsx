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"/>
    </mc:Choice>
  </mc:AlternateContent>
  <xr:revisionPtr revIDLastSave="0" documentId="14_{31F19403-3F1F-4DE6-A934-E4208E04424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Jan" sheetId="15" r:id="rId1"/>
    <sheet name="Feb" sheetId="14" r:id="rId2"/>
    <sheet name="Mar" sheetId="13" r:id="rId3"/>
    <sheet name="Apr" sheetId="4" r:id="rId4"/>
    <sheet name="May" sheetId="2" r:id="rId5"/>
    <sheet name="June" sheetId="6" r:id="rId6"/>
    <sheet name="July" sheetId="7" r:id="rId7"/>
    <sheet name="Aug" sheetId="8" r:id="rId8"/>
    <sheet name="Sept" sheetId="9" r:id="rId9"/>
    <sheet name="Oct" sheetId="16" r:id="rId10"/>
    <sheet name="Nov" sheetId="11" r:id="rId11"/>
    <sheet name="De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H2" i="2"/>
  <c r="H8" i="2"/>
  <c r="F37" i="2"/>
  <c r="B37" i="2"/>
  <c r="I5" i="4"/>
  <c r="I4" i="4"/>
  <c r="I3" i="4"/>
  <c r="B26" i="13"/>
  <c r="E26" i="13"/>
  <c r="E18" i="13" l="1"/>
  <c r="I10" i="13"/>
  <c r="I9" i="13"/>
  <c r="I8" i="13"/>
  <c r="I3" i="13"/>
  <c r="I4" i="13" l="1"/>
  <c r="I5" i="13" s="1"/>
  <c r="I11" i="13"/>
  <c r="B23" i="14"/>
  <c r="E19" i="14"/>
  <c r="I10" i="14"/>
  <c r="I9" i="14"/>
  <c r="I8" i="14"/>
  <c r="I4" i="14"/>
  <c r="I3" i="14"/>
  <c r="E3" i="14"/>
  <c r="E23" i="14" s="1"/>
  <c r="I11" i="14" l="1"/>
  <c r="I5" i="14"/>
  <c r="I13" i="13"/>
  <c r="I13" i="14"/>
  <c r="I10" i="15" l="1"/>
  <c r="I9" i="15"/>
  <c r="I8" i="15"/>
  <c r="I11" i="15" s="1"/>
  <c r="I3" i="15"/>
  <c r="E21" i="15"/>
  <c r="I4" i="15" s="1"/>
  <c r="E19" i="15"/>
  <c r="E10" i="15"/>
  <c r="E11" i="15" s="1"/>
  <c r="I5" i="15" l="1"/>
  <c r="I13" i="15" s="1"/>
  <c r="H4" i="12"/>
  <c r="H9" i="12"/>
  <c r="H8" i="12"/>
  <c r="H3" i="12"/>
  <c r="H5" i="12" l="1"/>
  <c r="H9" i="11"/>
  <c r="H8" i="11"/>
  <c r="H10" i="11" s="1"/>
  <c r="H4" i="11"/>
  <c r="H3" i="11"/>
  <c r="H5" i="11" s="1"/>
  <c r="H12" i="11" l="1"/>
  <c r="H9" i="16"/>
  <c r="H8" i="16"/>
  <c r="H10" i="16" s="1"/>
  <c r="H4" i="16"/>
  <c r="H3" i="16"/>
  <c r="E17" i="16"/>
  <c r="B17" i="16"/>
  <c r="H5" i="16" l="1"/>
  <c r="H12" i="16" s="1"/>
  <c r="H4" i="9"/>
  <c r="H3" i="9"/>
  <c r="E14" i="9"/>
  <c r="B14" i="9"/>
  <c r="H9" i="9"/>
  <c r="H8" i="9"/>
  <c r="H5" i="9" l="1"/>
  <c r="H10" i="9"/>
  <c r="H12" i="9" s="1"/>
  <c r="H9" i="8"/>
  <c r="H8" i="8"/>
  <c r="H4" i="8"/>
  <c r="H3" i="8"/>
  <c r="H10" i="8" l="1"/>
  <c r="H5" i="8"/>
  <c r="H4" i="7"/>
  <c r="H3" i="7"/>
  <c r="B25" i="7"/>
  <c r="H12" i="8" l="1"/>
  <c r="H9" i="7"/>
  <c r="H8" i="7"/>
  <c r="E25" i="7"/>
  <c r="H5" i="7" l="1"/>
  <c r="H10" i="7"/>
  <c r="H3" i="6"/>
  <c r="H2" i="6"/>
  <c r="H8" i="6"/>
  <c r="H7" i="6"/>
  <c r="H12" i="7" l="1"/>
  <c r="H4" i="6"/>
  <c r="H9" i="6"/>
  <c r="E24" i="15" l="1"/>
  <c r="B24" i="15"/>
  <c r="E23" i="12"/>
  <c r="H10" i="12" s="1"/>
  <c r="H12" i="12" s="1"/>
  <c r="B23" i="12"/>
  <c r="I7" i="4" l="1"/>
  <c r="B19" i="11"/>
  <c r="E19" i="11"/>
  <c r="B20" i="8" l="1"/>
  <c r="E20" i="8" l="1"/>
  <c r="B14" i="6" l="1"/>
  <c r="D14" i="6" l="1"/>
  <c r="H9" i="2" l="1"/>
  <c r="H4" i="2"/>
  <c r="H12" i="2" s="1"/>
</calcChain>
</file>

<file path=xl/sharedStrings.xml><?xml version="1.0" encoding="utf-8"?>
<sst xmlns="http://schemas.openxmlformats.org/spreadsheetml/2006/main" count="316" uniqueCount="19">
  <si>
    <t>Employer ID</t>
  </si>
  <si>
    <t>Amount</t>
  </si>
  <si>
    <t>Process Date</t>
  </si>
  <si>
    <t>Syracuse</t>
  </si>
  <si>
    <t>Branch</t>
  </si>
  <si>
    <t>Rochester</t>
  </si>
  <si>
    <t>Lyons</t>
  </si>
  <si>
    <t>Total</t>
  </si>
  <si>
    <t xml:space="preserve"> Amount </t>
  </si>
  <si>
    <t>includes HRA &amp; FSA</t>
  </si>
  <si>
    <t>HRA total</t>
  </si>
  <si>
    <t>FSA total</t>
  </si>
  <si>
    <t>Rochester FSA</t>
  </si>
  <si>
    <t>Lyons FSA</t>
  </si>
  <si>
    <t>Syracuse FSA</t>
  </si>
  <si>
    <t xml:space="preserve">  Amount  </t>
  </si>
  <si>
    <t>Account Type</t>
  </si>
  <si>
    <t>Medical FSA</t>
  </si>
  <si>
    <t>Health Reimbursement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</si>
</sst>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44" fontId="0" fillId="0" borderId="0" xfId="1" applyFont="1"/>
    <xf numFmtId="0" fontId="0" fillId="0" borderId="10" xfId="0" applyBorder="1"/>
    <xf numFmtId="44" fontId="0" fillId="0" borderId="11" xfId="1" applyFont="1" applyBorder="1"/>
    <xf numFmtId="14" fontId="0" fillId="0" borderId="11" xfId="0" applyNumberFormat="1" applyBorder="1"/>
    <xf numFmtId="0" fontId="0" fillId="0" borderId="13" xfId="0" applyBorder="1"/>
    <xf numFmtId="44" fontId="0" fillId="0" borderId="14" xfId="1" applyFont="1" applyBorder="1"/>
    <xf numFmtId="14" fontId="0" fillId="0" borderId="14" xfId="0" applyNumberFormat="1" applyBorder="1"/>
    <xf numFmtId="0" fontId="0" fillId="0" borderId="16" xfId="0" applyBorder="1"/>
    <xf numFmtId="44" fontId="0" fillId="0" borderId="17" xfId="1" applyFont="1" applyBorder="1"/>
    <xf numFmtId="14" fontId="0" fillId="0" borderId="17" xfId="0" applyNumberFormat="1" applyBorder="1"/>
    <xf numFmtId="44" fontId="0" fillId="0" borderId="0" xfId="0" applyNumberFormat="1"/>
    <xf numFmtId="0" fontId="0" fillId="33" borderId="0" xfId="0" applyFill="1"/>
    <xf numFmtId="8" fontId="0" fillId="0" borderId="0" xfId="0" applyNumberFormat="1"/>
    <xf numFmtId="0" fontId="0" fillId="0" borderId="0" xfId="0" applyBorder="1"/>
    <xf numFmtId="44" fontId="0" fillId="0" borderId="0" xfId="1" applyFont="1" applyBorder="1"/>
    <xf numFmtId="14" fontId="0" fillId="0" borderId="0" xfId="0" applyNumberFormat="1" applyBorder="1"/>
    <xf numFmtId="0" fontId="0" fillId="0" borderId="0" xfId="0" applyFill="1" applyBorder="1"/>
    <xf numFmtId="44" fontId="0" fillId="0" borderId="12" xfId="1" applyFont="1" applyBorder="1"/>
    <xf numFmtId="44" fontId="0" fillId="0" borderId="15" xfId="1" applyFont="1" applyBorder="1"/>
    <xf numFmtId="44" fontId="0" fillId="0" borderId="18" xfId="1" applyFont="1" applyBorder="1"/>
    <xf numFmtId="44" fontId="0" fillId="0" borderId="0" xfId="1" applyFont="1" applyFill="1" applyBorder="1"/>
    <xf numFmtId="14" fontId="0" fillId="0" borderId="0" xfId="0" applyNumberFormat="1" applyFill="1" applyBorder="1"/>
    <xf numFmtId="8" fontId="0" fillId="0" borderId="0" xfId="0" applyNumberFormat="1" applyFill="1" applyBorder="1"/>
    <xf numFmtId="44" fontId="0" fillId="0" borderId="0" xfId="0" applyNumberFormat="1" applyFill="1" applyBorder="1"/>
    <xf numFmtId="4" fontId="0" fillId="0" borderId="0" xfId="0" applyNumberFormat="1"/>
    <xf numFmtId="4" fontId="0" fillId="0" borderId="0" xfId="0" applyNumberFormat="1" applyFill="1" applyBorder="1"/>
    <xf numFmtId="0" fontId="0" fillId="0" borderId="11" xfId="0" applyFill="1" applyBorder="1"/>
    <xf numFmtId="0" fontId="0" fillId="0" borderId="14" xfId="0" applyFill="1" applyBorder="1"/>
    <xf numFmtId="0" fontId="0" fillId="0" borderId="17" xfId="0" applyFill="1" applyBorder="1"/>
    <xf numFmtId="44" fontId="0" fillId="0" borderId="14" xfId="1" applyFont="1" applyFill="1" applyBorder="1"/>
    <xf numFmtId="44" fontId="0" fillId="0" borderId="17" xfId="1" applyFont="1" applyFill="1" applyBorder="1"/>
    <xf numFmtId="44" fontId="0" fillId="0" borderId="15" xfId="1" applyFont="1" applyFill="1" applyBorder="1"/>
    <xf numFmtId="44" fontId="0" fillId="0" borderId="18" xfId="1" applyFont="1" applyFill="1" applyBorder="1"/>
    <xf numFmtId="0" fontId="0" fillId="0" borderId="0" xfId="0" applyFill="1"/>
    <xf numFmtId="0" fontId="0" fillId="0" borderId="11" xfId="0" applyBorder="1"/>
    <xf numFmtId="0" fontId="0" fillId="0" borderId="13" xfId="0" applyFill="1" applyBorder="1"/>
    <xf numFmtId="14" fontId="0" fillId="0" borderId="14" xfId="0" applyNumberFormat="1" applyFill="1" applyBorder="1"/>
    <xf numFmtId="0" fontId="0" fillId="0" borderId="16" xfId="0" applyFill="1" applyBorder="1"/>
    <xf numFmtId="14" fontId="0" fillId="0" borderId="17" xfId="0" applyNumberFormat="1" applyFill="1" applyBorder="1"/>
    <xf numFmtId="0" fontId="0" fillId="34" borderId="13" xfId="0" applyFill="1" applyBorder="1"/>
    <xf numFmtId="44" fontId="0" fillId="34" borderId="14" xfId="1" applyFont="1" applyFill="1" applyBorder="1"/>
    <xf numFmtId="14" fontId="0" fillId="34" borderId="14" xfId="0" applyNumberFormat="1" applyFill="1" applyBorder="1"/>
    <xf numFmtId="0" fontId="0" fillId="34" borderId="14" xfId="0" applyFill="1" applyBorder="1"/>
    <xf numFmtId="44" fontId="0" fillId="34" borderId="15" xfId="1" applyFont="1" applyFill="1" applyBorder="1"/>
    <xf numFmtId="0" fontId="0" fillId="34" borderId="16" xfId="0" applyFill="1" applyBorder="1"/>
    <xf numFmtId="44" fontId="0" fillId="34" borderId="17" xfId="1" applyFont="1" applyFill="1" applyBorder="1"/>
    <xf numFmtId="14" fontId="0" fillId="34" borderId="17" xfId="0" applyNumberFormat="1" applyFill="1" applyBorder="1"/>
    <xf numFmtId="0" fontId="0" fillId="34" borderId="17" xfId="0" applyFill="1" applyBorder="1"/>
    <xf numFmtId="44" fontId="0" fillId="34" borderId="18" xfId="1" applyFont="1" applyFill="1" applyBorder="1"/>
    <xf numFmtId="0" fontId="0" fillId="35" borderId="13" xfId="0" applyFill="1" applyBorder="1"/>
    <xf numFmtId="44" fontId="0" fillId="35" borderId="14" xfId="1" applyFont="1" applyFill="1" applyBorder="1"/>
    <xf numFmtId="14" fontId="0" fillId="35" borderId="14" xfId="0" applyNumberFormat="1" applyFill="1" applyBorder="1"/>
    <xf numFmtId="0" fontId="0" fillId="35" borderId="14" xfId="0" applyFill="1" applyBorder="1"/>
    <xf numFmtId="44" fontId="0" fillId="35" borderId="15" xfId="1" applyFont="1" applyFill="1" applyBorder="1"/>
    <xf numFmtId="0" fontId="0" fillId="35" borderId="20" xfId="0" applyFill="1" applyBorder="1"/>
    <xf numFmtId="44" fontId="0" fillId="35" borderId="0" xfId="1" applyFont="1" applyFill="1" applyBorder="1"/>
    <xf numFmtId="14" fontId="0" fillId="35" borderId="0" xfId="0" applyNumberFormat="1" applyFill="1" applyBorder="1"/>
    <xf numFmtId="0" fontId="0" fillId="35" borderId="0" xfId="0" applyFill="1" applyBorder="1"/>
    <xf numFmtId="44" fontId="0" fillId="35" borderId="19" xfId="1" applyFont="1" applyFill="1" applyBorder="1"/>
    <xf numFmtId="0" fontId="0" fillId="35" borderId="16" xfId="0" applyFill="1" applyBorder="1"/>
    <xf numFmtId="44" fontId="0" fillId="35" borderId="17" xfId="1" applyFont="1" applyFill="1" applyBorder="1"/>
    <xf numFmtId="14" fontId="0" fillId="35" borderId="17" xfId="0" applyNumberFormat="1" applyFill="1" applyBorder="1"/>
    <xf numFmtId="0" fontId="0" fillId="35" borderId="17" xfId="0" applyFill="1" applyBorder="1"/>
    <xf numFmtId="44" fontId="0" fillId="35" borderId="18" xfId="1" applyFont="1" applyFill="1" applyBorder="1"/>
    <xf numFmtId="0" fontId="0" fillId="0" borderId="20" xfId="0" applyBorder="1"/>
    <xf numFmtId="14" fontId="0" fillId="0" borderId="0" xfId="0" applyNumberFormat="1"/>
    <xf numFmtId="44" fontId="0" fillId="0" borderId="19" xfId="1" applyFont="1" applyBorder="1"/>
    <xf numFmtId="0" fontId="0" fillId="0" borderId="17" xfId="0" applyBorder="1"/>
    <xf numFmtId="0" fontId="0" fillId="0" borderId="0" xfId="0" applyFont="1"/>
    <xf numFmtId="44" fontId="1" fillId="0" borderId="0" xfId="1" applyFont="1" applyFill="1" applyBorder="1"/>
    <xf numFmtId="8" fontId="0" fillId="0" borderId="0" xfId="0" applyNumberFormat="1" applyFont="1" applyFill="1" applyBorder="1"/>
    <xf numFmtId="44" fontId="0" fillId="0" borderId="0" xfId="0" applyNumberFormat="1" applyFont="1" applyFill="1" applyBorder="1"/>
    <xf numFmtId="8" fontId="0" fillId="0" borderId="0" xfId="0" applyNumberFormat="1" applyFont="1"/>
    <xf numFmtId="44" fontId="1" fillId="0" borderId="15" xfId="1" applyFont="1" applyFill="1" applyBorder="1"/>
    <xf numFmtId="44" fontId="1" fillId="0" borderId="19" xfId="1" applyFont="1" applyFill="1" applyBorder="1"/>
    <xf numFmtId="44" fontId="1" fillId="0" borderId="18" xfId="1" applyFont="1" applyFill="1" applyBorder="1"/>
    <xf numFmtId="44" fontId="0" fillId="0" borderId="11" xfId="1" applyFont="1" applyFill="1" applyBorder="1"/>
    <xf numFmtId="44" fontId="1" fillId="0" borderId="12" xfId="1" applyFont="1" applyFill="1" applyBorder="1"/>
    <xf numFmtId="44" fontId="0" fillId="0" borderId="0" xfId="1" applyNumberFormat="1" applyFont="1" applyFill="1" applyBorder="1"/>
    <xf numFmtId="0" fontId="16" fillId="0" borderId="21" xfId="0" applyFont="1" applyBorder="1"/>
    <xf numFmtId="0" fontId="0" fillId="0" borderId="21" xfId="0" applyBorder="1"/>
    <xf numFmtId="14" fontId="0" fillId="0" borderId="21" xfId="0" applyNumberFormat="1" applyBorder="1"/>
    <xf numFmtId="44" fontId="0" fillId="0" borderId="17" xfId="1" applyNumberFormat="1" applyFont="1" applyBorder="1"/>
    <xf numFmtId="44" fontId="16" fillId="0" borderId="21" xfId="0" applyNumberFormat="1" applyFont="1" applyBorder="1"/>
    <xf numFmtId="44" fontId="0" fillId="0" borderId="21" xfId="0" applyNumberFormat="1" applyBorder="1"/>
    <xf numFmtId="44" fontId="0" fillId="36" borderId="21" xfId="0" applyNumberFormat="1" applyFill="1" applyBorder="1"/>
    <xf numFmtId="44" fontId="0" fillId="37" borderId="21" xfId="0" applyNumberFormat="1" applyFill="1" applyBorder="1"/>
    <xf numFmtId="44" fontId="0" fillId="38" borderId="21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C69-475F-4C6F-935C-DD180F2938B1}">
  <dimension ref="A1:J29"/>
  <sheetViews>
    <sheetView showGridLines="0" workbookViewId="0">
      <selection activeCell="E5" sqref="E5:E6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10.140625" bestFit="1" customWidth="1"/>
    <col min="5" max="5" width="10.5703125" style="25" bestFit="1" customWidth="1"/>
    <col min="8" max="8" width="13.7109375" bestFit="1" customWidth="1"/>
    <col min="9" max="9" width="10.5703125" bestFit="1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25" t="s">
        <v>1</v>
      </c>
      <c r="H1" s="34"/>
    </row>
    <row r="2" spans="1:10" x14ac:dyDescent="0.25">
      <c r="A2" s="2">
        <v>161391624</v>
      </c>
      <c r="B2" s="3">
        <v>386.45</v>
      </c>
      <c r="C2" s="4">
        <v>44564</v>
      </c>
      <c r="D2" s="35" t="s">
        <v>5</v>
      </c>
      <c r="E2" s="18">
        <v>386.45</v>
      </c>
    </row>
    <row r="3" spans="1:10" x14ac:dyDescent="0.25">
      <c r="A3" s="2">
        <v>161391624</v>
      </c>
      <c r="B3" s="3">
        <v>439.17</v>
      </c>
      <c r="C3" s="4">
        <v>44564</v>
      </c>
      <c r="D3" s="35" t="s">
        <v>3</v>
      </c>
      <c r="E3" s="18">
        <v>439.17</v>
      </c>
      <c r="H3" t="s">
        <v>5</v>
      </c>
      <c r="I3" s="1">
        <f>SUMIF($D$2:$D$22,H3,$E$2:$E$22)</f>
        <v>2210.8399999999997</v>
      </c>
    </row>
    <row r="4" spans="1:10" x14ac:dyDescent="0.25">
      <c r="A4" s="2">
        <v>161391624</v>
      </c>
      <c r="B4" s="3">
        <v>169.38</v>
      </c>
      <c r="C4" s="4">
        <v>44565</v>
      </c>
      <c r="D4" s="27" t="s">
        <v>3</v>
      </c>
      <c r="E4" s="18">
        <v>169.38</v>
      </c>
      <c r="H4" t="s">
        <v>3</v>
      </c>
      <c r="I4" s="9">
        <f>SUMIF($D$2:$D$22,H4,$E$2:$E$22)</f>
        <v>3123.56</v>
      </c>
    </row>
    <row r="5" spans="1:10" x14ac:dyDescent="0.25">
      <c r="A5" s="40">
        <v>161391624</v>
      </c>
      <c r="B5" s="41">
        <v>201.92</v>
      </c>
      <c r="C5" s="42">
        <v>44566</v>
      </c>
      <c r="D5" s="43" t="s">
        <v>12</v>
      </c>
      <c r="E5" s="44">
        <v>100</v>
      </c>
      <c r="I5" s="11">
        <f>SUM(I3:I4)</f>
        <v>5334.4</v>
      </c>
      <c r="J5" t="s">
        <v>10</v>
      </c>
    </row>
    <row r="6" spans="1:10" x14ac:dyDescent="0.25">
      <c r="A6" s="45"/>
      <c r="B6" s="46"/>
      <c r="C6" s="47"/>
      <c r="D6" s="48" t="s">
        <v>13</v>
      </c>
      <c r="E6" s="49">
        <v>101.92</v>
      </c>
    </row>
    <row r="7" spans="1:10" x14ac:dyDescent="0.25">
      <c r="A7" s="2">
        <v>161391624</v>
      </c>
      <c r="B7" s="3">
        <v>0</v>
      </c>
      <c r="C7" s="4">
        <v>44566</v>
      </c>
      <c r="D7" s="35"/>
      <c r="E7" s="18"/>
    </row>
    <row r="8" spans="1:10" x14ac:dyDescent="0.25">
      <c r="A8" s="2">
        <v>161391624</v>
      </c>
      <c r="B8" s="3">
        <v>763.84</v>
      </c>
      <c r="C8" s="4">
        <v>44567</v>
      </c>
      <c r="D8" s="27" t="s">
        <v>5</v>
      </c>
      <c r="E8" s="18">
        <v>763.84</v>
      </c>
      <c r="H8" t="s">
        <v>12</v>
      </c>
      <c r="I8" s="1">
        <f t="shared" ref="I8:I10" si="0">SUMIF($D$2:$D$22,H8,$E$2:$E$22)</f>
        <v>190</v>
      </c>
    </row>
    <row r="9" spans="1:10" x14ac:dyDescent="0.25">
      <c r="A9" s="2">
        <v>161391624</v>
      </c>
      <c r="B9" s="3">
        <v>299.75</v>
      </c>
      <c r="C9" s="4">
        <v>44571</v>
      </c>
      <c r="D9" s="27" t="s">
        <v>3</v>
      </c>
      <c r="E9" s="18">
        <v>299.75</v>
      </c>
      <c r="H9" t="s">
        <v>14</v>
      </c>
      <c r="I9" s="1">
        <f t="shared" si="0"/>
        <v>192.3</v>
      </c>
    </row>
    <row r="10" spans="1:10" x14ac:dyDescent="0.25">
      <c r="A10" s="36">
        <v>161391624</v>
      </c>
      <c r="B10" s="30">
        <v>316.47000000000003</v>
      </c>
      <c r="C10" s="37">
        <v>44576</v>
      </c>
      <c r="D10" s="28" t="s">
        <v>5</v>
      </c>
      <c r="E10" s="32">
        <f>155+127.79</f>
        <v>282.79000000000002</v>
      </c>
      <c r="H10" t="s">
        <v>13</v>
      </c>
      <c r="I10" s="9">
        <f t="shared" si="0"/>
        <v>207.68</v>
      </c>
    </row>
    <row r="11" spans="1:10" x14ac:dyDescent="0.25">
      <c r="A11" s="38"/>
      <c r="B11" s="31"/>
      <c r="C11" s="39"/>
      <c r="D11" s="29" t="s">
        <v>3</v>
      </c>
      <c r="E11" s="33">
        <f>B10-E10</f>
        <v>33.680000000000007</v>
      </c>
      <c r="I11" s="11">
        <f>SUM(I8:I10)</f>
        <v>589.98</v>
      </c>
      <c r="J11" t="s">
        <v>11</v>
      </c>
    </row>
    <row r="12" spans="1:10" x14ac:dyDescent="0.25">
      <c r="A12" s="2">
        <v>161391624</v>
      </c>
      <c r="B12" s="3">
        <v>171.56</v>
      </c>
      <c r="C12" s="4">
        <v>44579</v>
      </c>
      <c r="D12" s="27" t="s">
        <v>3</v>
      </c>
      <c r="E12" s="18">
        <v>171.56</v>
      </c>
    </row>
    <row r="13" spans="1:10" x14ac:dyDescent="0.25">
      <c r="A13" s="2">
        <v>161391624</v>
      </c>
      <c r="B13" s="3">
        <v>170.07</v>
      </c>
      <c r="C13" s="4">
        <v>44580</v>
      </c>
      <c r="D13" s="27" t="s">
        <v>3</v>
      </c>
      <c r="E13" s="18">
        <v>170.07</v>
      </c>
      <c r="I13" s="11">
        <f>+I11+I5</f>
        <v>5924.3799999999992</v>
      </c>
    </row>
    <row r="14" spans="1:10" x14ac:dyDescent="0.25">
      <c r="A14" s="50">
        <v>161391624</v>
      </c>
      <c r="B14" s="51">
        <v>388.06</v>
      </c>
      <c r="C14" s="52">
        <v>44581</v>
      </c>
      <c r="D14" s="53" t="s">
        <v>12</v>
      </c>
      <c r="E14" s="54">
        <v>90</v>
      </c>
    </row>
    <row r="15" spans="1:10" x14ac:dyDescent="0.25">
      <c r="A15" s="55"/>
      <c r="B15" s="56"/>
      <c r="C15" s="57"/>
      <c r="D15" s="58" t="s">
        <v>14</v>
      </c>
      <c r="E15" s="59">
        <v>192.3</v>
      </c>
    </row>
    <row r="16" spans="1:10" x14ac:dyDescent="0.25">
      <c r="A16" s="60"/>
      <c r="B16" s="61"/>
      <c r="C16" s="62"/>
      <c r="D16" s="63" t="s">
        <v>13</v>
      </c>
      <c r="E16" s="64">
        <v>105.76</v>
      </c>
    </row>
    <row r="17" spans="1:5" x14ac:dyDescent="0.25">
      <c r="A17" s="2">
        <v>161391624</v>
      </c>
      <c r="B17" s="3">
        <v>95</v>
      </c>
      <c r="C17" s="4">
        <v>44582</v>
      </c>
      <c r="D17" s="35" t="s">
        <v>5</v>
      </c>
      <c r="E17" s="18">
        <v>95</v>
      </c>
    </row>
    <row r="18" spans="1:5" x14ac:dyDescent="0.25">
      <c r="A18" s="5">
        <v>161391624</v>
      </c>
      <c r="B18" s="6">
        <v>138.6</v>
      </c>
      <c r="C18" s="7">
        <v>44585</v>
      </c>
      <c r="D18" s="28" t="s">
        <v>5</v>
      </c>
      <c r="E18" s="19">
        <v>62.58</v>
      </c>
    </row>
    <row r="19" spans="1:5" x14ac:dyDescent="0.25">
      <c r="A19" s="8"/>
      <c r="B19" s="9"/>
      <c r="C19" s="10"/>
      <c r="D19" s="29" t="s">
        <v>3</v>
      </c>
      <c r="E19" s="20">
        <f>+B18-E18</f>
        <v>76.02</v>
      </c>
    </row>
    <row r="20" spans="1:5" x14ac:dyDescent="0.25">
      <c r="A20" s="5">
        <v>161391624</v>
      </c>
      <c r="B20" s="6">
        <v>706.85</v>
      </c>
      <c r="C20" s="7">
        <v>44589</v>
      </c>
      <c r="D20" s="28" t="s">
        <v>5</v>
      </c>
      <c r="E20" s="19">
        <v>620.17999999999995</v>
      </c>
    </row>
    <row r="21" spans="1:5" x14ac:dyDescent="0.25">
      <c r="A21" s="8"/>
      <c r="B21" s="9"/>
      <c r="C21" s="10"/>
      <c r="D21" s="29" t="s">
        <v>3</v>
      </c>
      <c r="E21" s="20">
        <f>+B20-E20</f>
        <v>86.670000000000073</v>
      </c>
    </row>
    <row r="22" spans="1:5" x14ac:dyDescent="0.25">
      <c r="A22" s="2">
        <v>161391624</v>
      </c>
      <c r="B22" s="3">
        <v>1677.26</v>
      </c>
      <c r="C22" s="4">
        <v>44592</v>
      </c>
      <c r="D22" s="27" t="s">
        <v>3</v>
      </c>
      <c r="E22" s="18">
        <v>1677.26</v>
      </c>
    </row>
    <row r="23" spans="1:5" x14ac:dyDescent="0.25">
      <c r="A23" s="17"/>
      <c r="B23" s="21"/>
      <c r="C23" s="22"/>
      <c r="D23" s="21"/>
      <c r="E23" s="21"/>
    </row>
    <row r="24" spans="1:5" x14ac:dyDescent="0.25">
      <c r="A24" s="17"/>
      <c r="B24" s="24">
        <f>SUM(B2:B23)</f>
        <v>5924.380000000001</v>
      </c>
      <c r="C24" s="22"/>
      <c r="E24" s="24">
        <f>SUM(E2:E23)</f>
        <v>5924.380000000001</v>
      </c>
    </row>
    <row r="25" spans="1:5" x14ac:dyDescent="0.25">
      <c r="A25" s="17"/>
      <c r="B25" s="23"/>
      <c r="C25" s="22"/>
      <c r="D25" s="21"/>
      <c r="E25" s="26"/>
    </row>
    <row r="26" spans="1:5" x14ac:dyDescent="0.25">
      <c r="A26" s="17"/>
      <c r="B26" s="23"/>
      <c r="C26" s="22"/>
      <c r="D26" s="21"/>
      <c r="E26" s="26"/>
    </row>
    <row r="27" spans="1:5" x14ac:dyDescent="0.25">
      <c r="A27" s="17"/>
      <c r="B27" s="23"/>
      <c r="C27" s="22"/>
      <c r="D27" s="21"/>
      <c r="E27" s="26"/>
    </row>
    <row r="28" spans="1:5" x14ac:dyDescent="0.25">
      <c r="A28" s="17"/>
      <c r="B28" s="23"/>
      <c r="C28" s="22"/>
      <c r="D28" s="23"/>
      <c r="E28" s="26"/>
    </row>
    <row r="29" spans="1:5" x14ac:dyDescent="0.25">
      <c r="B29" s="13"/>
      <c r="D29" s="13"/>
    </row>
  </sheetData>
  <sortState xmlns:xlrd2="http://schemas.microsoft.com/office/spreadsheetml/2017/richdata2" ref="A2:E23">
    <sortCondition ref="C2:C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3E8-A2AB-4E95-8A4F-41D407B360A3}">
  <dimension ref="A1:J28"/>
  <sheetViews>
    <sheetView showGridLines="0" workbookViewId="0">
      <selection activeCell="E19" sqref="E19:E20"/>
    </sheetView>
  </sheetViews>
  <sheetFormatPr defaultRowHeight="15" x14ac:dyDescent="0.25"/>
  <cols>
    <col min="1" max="1" width="12" customWidth="1"/>
    <col min="2" max="2" width="10.5703125" bestFit="1" customWidth="1"/>
    <col min="3" max="3" width="11.5703125" bestFit="1" customWidth="1"/>
    <col min="4" max="4" width="9.28515625" bestFit="1" customWidth="1"/>
    <col min="5" max="5" width="10.5703125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t="s">
        <v>8</v>
      </c>
    </row>
    <row r="2" spans="1:10" x14ac:dyDescent="0.25">
      <c r="A2" s="2">
        <v>161391624</v>
      </c>
      <c r="B2" s="3">
        <v>5</v>
      </c>
      <c r="C2" s="4">
        <v>44593</v>
      </c>
      <c r="D2" s="4" t="s">
        <v>5</v>
      </c>
      <c r="E2" s="18">
        <v>5</v>
      </c>
    </row>
    <row r="3" spans="1:10" x14ac:dyDescent="0.25">
      <c r="A3" s="5">
        <v>161391624</v>
      </c>
      <c r="B3" s="6">
        <v>63.58</v>
      </c>
      <c r="C3" s="7">
        <v>44595</v>
      </c>
      <c r="D3" s="7" t="s">
        <v>5</v>
      </c>
      <c r="E3" s="19">
        <f>11.25+12.33</f>
        <v>23.58</v>
      </c>
      <c r="H3" t="s">
        <v>5</v>
      </c>
      <c r="I3" s="1">
        <f>SUMIF($D$2:$D$21,H3,$E$2:$E$21)</f>
        <v>232.19</v>
      </c>
    </row>
    <row r="4" spans="1:10" x14ac:dyDescent="0.25">
      <c r="A4" s="8"/>
      <c r="B4" s="9"/>
      <c r="C4" s="10"/>
      <c r="D4" s="10" t="s">
        <v>3</v>
      </c>
      <c r="E4" s="20">
        <v>40</v>
      </c>
      <c r="H4" t="s">
        <v>3</v>
      </c>
      <c r="I4" s="9">
        <f>SUMIF($D$2:$D$21,H4,$E$2:$E$21)</f>
        <v>1208.2199999999998</v>
      </c>
    </row>
    <row r="5" spans="1:10" x14ac:dyDescent="0.25">
      <c r="A5" s="5">
        <v>161391624</v>
      </c>
      <c r="B5" s="6">
        <v>338.06</v>
      </c>
      <c r="C5" s="7">
        <v>44595</v>
      </c>
      <c r="D5" s="7" t="s">
        <v>12</v>
      </c>
      <c r="E5" s="19">
        <v>40</v>
      </c>
      <c r="I5" s="11">
        <f>SUM(I3:I4)</f>
        <v>1440.4099999999999</v>
      </c>
      <c r="J5" t="s">
        <v>10</v>
      </c>
    </row>
    <row r="6" spans="1:10" x14ac:dyDescent="0.25">
      <c r="A6" s="65"/>
      <c r="B6" s="1"/>
      <c r="C6" s="66"/>
      <c r="D6" s="66" t="s">
        <v>14</v>
      </c>
      <c r="E6" s="67">
        <v>192.3</v>
      </c>
    </row>
    <row r="7" spans="1:10" x14ac:dyDescent="0.25">
      <c r="A7" s="8"/>
      <c r="B7" s="9"/>
      <c r="C7" s="10"/>
      <c r="D7" s="10" t="s">
        <v>13</v>
      </c>
      <c r="E7" s="20">
        <v>105.76</v>
      </c>
    </row>
    <row r="8" spans="1:10" x14ac:dyDescent="0.25">
      <c r="A8" s="2">
        <v>161391624</v>
      </c>
      <c r="B8" s="3">
        <v>373.21</v>
      </c>
      <c r="C8" s="4">
        <v>44599</v>
      </c>
      <c r="D8" s="4" t="s">
        <v>3</v>
      </c>
      <c r="E8" s="18">
        <v>373.21</v>
      </c>
      <c r="H8" t="s">
        <v>12</v>
      </c>
      <c r="I8" s="1">
        <f>SUMIF($D$2:$D$21,H8,$E$2:$E$21)</f>
        <v>80</v>
      </c>
    </row>
    <row r="9" spans="1:10" x14ac:dyDescent="0.25">
      <c r="A9" s="2">
        <v>161391624</v>
      </c>
      <c r="B9" s="3">
        <v>39.380000000000003</v>
      </c>
      <c r="C9" s="4">
        <v>44601</v>
      </c>
      <c r="D9" s="4" t="s">
        <v>3</v>
      </c>
      <c r="E9" s="18">
        <v>39.39</v>
      </c>
      <c r="H9" t="s">
        <v>14</v>
      </c>
      <c r="I9" s="1">
        <f>SUMIF($D$2:$D$21,H9,$E$2:$E$21)</f>
        <v>384.6</v>
      </c>
    </row>
    <row r="10" spans="1:10" x14ac:dyDescent="0.25">
      <c r="A10" s="2">
        <v>161391624</v>
      </c>
      <c r="B10" s="3">
        <v>28.92</v>
      </c>
      <c r="C10" s="4">
        <v>44606</v>
      </c>
      <c r="D10" s="4" t="s">
        <v>3</v>
      </c>
      <c r="E10" s="18">
        <v>28.92</v>
      </c>
      <c r="H10" t="s">
        <v>13</v>
      </c>
      <c r="I10" s="9">
        <f>SUMIF($D$2:$D$21,H10,$E$2:$E$21)</f>
        <v>211.52</v>
      </c>
    </row>
    <row r="11" spans="1:10" x14ac:dyDescent="0.25">
      <c r="A11" s="2">
        <v>161391624</v>
      </c>
      <c r="B11" s="3">
        <v>16.79</v>
      </c>
      <c r="C11" s="4">
        <v>44608</v>
      </c>
      <c r="D11" s="4" t="s">
        <v>3</v>
      </c>
      <c r="E11" s="18">
        <v>16.79</v>
      </c>
      <c r="I11" s="11">
        <f>SUM(I8:I10)</f>
        <v>676.12</v>
      </c>
      <c r="J11" t="s">
        <v>11</v>
      </c>
    </row>
    <row r="12" spans="1:10" x14ac:dyDescent="0.25">
      <c r="A12" s="5">
        <v>161391624</v>
      </c>
      <c r="B12" s="6">
        <v>338.06</v>
      </c>
      <c r="C12" s="7">
        <v>44609</v>
      </c>
      <c r="D12" s="7" t="s">
        <v>12</v>
      </c>
      <c r="E12" s="19">
        <v>40</v>
      </c>
    </row>
    <row r="13" spans="1:10" x14ac:dyDescent="0.25">
      <c r="A13" s="65"/>
      <c r="D13" s="66" t="s">
        <v>14</v>
      </c>
      <c r="E13" s="67">
        <v>192.3</v>
      </c>
      <c r="I13" s="11">
        <f>+I11+I5</f>
        <v>2116.5299999999997</v>
      </c>
    </row>
    <row r="14" spans="1:10" x14ac:dyDescent="0.25">
      <c r="A14" s="8"/>
      <c r="B14" s="68"/>
      <c r="C14" s="68"/>
      <c r="D14" s="10" t="s">
        <v>13</v>
      </c>
      <c r="E14" s="20">
        <v>105.76</v>
      </c>
    </row>
    <row r="15" spans="1:10" x14ac:dyDescent="0.25">
      <c r="A15" s="2">
        <v>161391624</v>
      </c>
      <c r="B15" s="3">
        <v>417.98</v>
      </c>
      <c r="C15" s="4">
        <v>44609</v>
      </c>
      <c r="D15" s="4" t="s">
        <v>3</v>
      </c>
      <c r="E15" s="18">
        <v>417.98</v>
      </c>
    </row>
    <row r="16" spans="1:10" x14ac:dyDescent="0.25">
      <c r="A16" s="2">
        <v>161391624</v>
      </c>
      <c r="B16" s="3">
        <v>74.180000000000007</v>
      </c>
      <c r="C16" s="4">
        <v>44613</v>
      </c>
      <c r="D16" s="4" t="s">
        <v>3</v>
      </c>
      <c r="E16" s="18">
        <v>74.180000000000007</v>
      </c>
    </row>
    <row r="17" spans="1:5" x14ac:dyDescent="0.25">
      <c r="A17" s="2">
        <v>161391624</v>
      </c>
      <c r="B17" s="3">
        <v>36.57</v>
      </c>
      <c r="C17" s="4">
        <v>44614</v>
      </c>
      <c r="D17" s="4" t="s">
        <v>3</v>
      </c>
      <c r="E17" s="18">
        <v>36.57</v>
      </c>
    </row>
    <row r="18" spans="1:5" x14ac:dyDescent="0.25">
      <c r="A18" s="2">
        <v>161391624</v>
      </c>
      <c r="B18" s="3">
        <v>111.8</v>
      </c>
      <c r="C18" s="4">
        <v>44615</v>
      </c>
      <c r="D18" s="4" t="s">
        <v>3</v>
      </c>
      <c r="E18" s="18">
        <v>111.8</v>
      </c>
    </row>
    <row r="19" spans="1:5" x14ac:dyDescent="0.25">
      <c r="A19" s="5">
        <v>161391624</v>
      </c>
      <c r="B19" s="6">
        <v>272.99</v>
      </c>
      <c r="C19" s="7">
        <v>44620</v>
      </c>
      <c r="D19" s="7" t="s">
        <v>5</v>
      </c>
      <c r="E19" s="19">
        <f>178.61+25</f>
        <v>203.61</v>
      </c>
    </row>
    <row r="20" spans="1:5" x14ac:dyDescent="0.25">
      <c r="A20" s="8"/>
      <c r="B20" s="9"/>
      <c r="C20" s="10"/>
      <c r="D20" s="10" t="s">
        <v>3</v>
      </c>
      <c r="E20" s="20">
        <v>69.38</v>
      </c>
    </row>
    <row r="21" spans="1:5" x14ac:dyDescent="0.25">
      <c r="B21" s="1"/>
      <c r="C21" s="66"/>
      <c r="D21" s="66"/>
      <c r="E21" s="1"/>
    </row>
    <row r="22" spans="1:5" x14ac:dyDescent="0.25">
      <c r="B22" s="13"/>
      <c r="C22" s="66"/>
      <c r="E22" s="1"/>
    </row>
    <row r="23" spans="1:5" x14ac:dyDescent="0.25">
      <c r="B23" s="11">
        <f>SUM(B2:B22)</f>
        <v>2116.5199999999995</v>
      </c>
      <c r="C23" s="66"/>
      <c r="E23" s="11">
        <f>SUM(E2:E22)</f>
        <v>2116.5299999999997</v>
      </c>
    </row>
    <row r="24" spans="1:5" x14ac:dyDescent="0.25">
      <c r="B24" s="13"/>
      <c r="C24" s="66"/>
      <c r="E24" s="13"/>
    </row>
    <row r="25" spans="1:5" x14ac:dyDescent="0.25">
      <c r="B25" s="13"/>
      <c r="C25" s="66"/>
      <c r="E25" s="13"/>
    </row>
    <row r="26" spans="1:5" x14ac:dyDescent="0.25">
      <c r="A26" s="17"/>
      <c r="B26" s="23"/>
      <c r="C26" s="22"/>
      <c r="D26" s="17"/>
      <c r="E26" s="23"/>
    </row>
    <row r="27" spans="1:5" x14ac:dyDescent="0.25">
      <c r="A27" s="17"/>
      <c r="B27" s="23"/>
      <c r="C27" s="22"/>
      <c r="D27" s="17"/>
      <c r="E27" s="23"/>
    </row>
    <row r="28" spans="1:5" x14ac:dyDescent="0.25">
      <c r="B28" s="13"/>
      <c r="E28" s="13"/>
    </row>
  </sheetData>
  <sortState xmlns:xlrd2="http://schemas.microsoft.com/office/spreadsheetml/2017/richdata2" ref="A2:C22">
    <sortCondition ref="C2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7EB1-6A0C-4256-AABF-2BE37DD06E9C}">
  <dimension ref="A1:J36"/>
  <sheetViews>
    <sheetView showGridLines="0" workbookViewId="0">
      <selection activeCell="E27" sqref="E27"/>
    </sheetView>
  </sheetViews>
  <sheetFormatPr defaultRowHeight="15" x14ac:dyDescent="0.25"/>
  <cols>
    <col min="1" max="1" width="13.140625" customWidth="1"/>
    <col min="2" max="2" width="10.5703125" bestFit="1" customWidth="1"/>
    <col min="3" max="3" width="11.5703125" bestFit="1" customWidth="1"/>
    <col min="4" max="4" width="15.140625" bestFit="1" customWidth="1"/>
    <col min="5" max="5" width="10.5703125" style="69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69" t="s">
        <v>8</v>
      </c>
    </row>
    <row r="2" spans="1:10" x14ac:dyDescent="0.25">
      <c r="A2" s="2">
        <v>161391624</v>
      </c>
      <c r="B2" s="3">
        <v>180.04</v>
      </c>
      <c r="C2" s="4">
        <v>44627</v>
      </c>
      <c r="D2" s="77" t="s">
        <v>3</v>
      </c>
      <c r="E2" s="78">
        <v>180.04</v>
      </c>
    </row>
    <row r="3" spans="1:10" x14ac:dyDescent="0.25">
      <c r="A3" s="5">
        <v>161391624</v>
      </c>
      <c r="B3" s="6">
        <v>338.06</v>
      </c>
      <c r="C3" s="7">
        <v>44627</v>
      </c>
      <c r="D3" s="30" t="s">
        <v>12</v>
      </c>
      <c r="E3" s="74">
        <v>40</v>
      </c>
      <c r="H3" t="s">
        <v>5</v>
      </c>
      <c r="I3" s="1">
        <f>SUMIF($D$2:$D$28,H3,$E$2:$E$28)</f>
        <v>293.76</v>
      </c>
    </row>
    <row r="4" spans="1:10" x14ac:dyDescent="0.25">
      <c r="A4" s="65"/>
      <c r="B4" s="15"/>
      <c r="C4" s="16"/>
      <c r="D4" s="21" t="s">
        <v>14</v>
      </c>
      <c r="E4" s="75">
        <v>192.3</v>
      </c>
      <c r="H4" t="s">
        <v>3</v>
      </c>
      <c r="I4" s="9">
        <f>SUMIF($D$2:$D$28,H4,$E$2:$E$28)</f>
        <v>2599.1299999999997</v>
      </c>
    </row>
    <row r="5" spans="1:10" x14ac:dyDescent="0.25">
      <c r="A5" s="8"/>
      <c r="B5" s="9"/>
      <c r="C5" s="10"/>
      <c r="D5" s="31" t="s">
        <v>13</v>
      </c>
      <c r="E5" s="76">
        <v>105.76</v>
      </c>
      <c r="I5" s="11">
        <f>SUM(I3:I4)</f>
        <v>2892.8899999999994</v>
      </c>
      <c r="J5" t="s">
        <v>10</v>
      </c>
    </row>
    <row r="6" spans="1:10" x14ac:dyDescent="0.25">
      <c r="A6" s="2">
        <v>161391624</v>
      </c>
      <c r="B6" s="3">
        <v>101.24</v>
      </c>
      <c r="C6" s="4">
        <v>44629</v>
      </c>
      <c r="D6" s="77" t="s">
        <v>3</v>
      </c>
      <c r="E6" s="78">
        <v>101.24</v>
      </c>
    </row>
    <row r="7" spans="1:10" x14ac:dyDescent="0.25">
      <c r="A7" s="2">
        <v>161391624</v>
      </c>
      <c r="B7" s="3">
        <v>638.4</v>
      </c>
      <c r="C7" s="4">
        <v>44629</v>
      </c>
      <c r="D7" s="77" t="s">
        <v>3</v>
      </c>
      <c r="E7" s="78">
        <v>638.4</v>
      </c>
    </row>
    <row r="8" spans="1:10" x14ac:dyDescent="0.25">
      <c r="A8" s="2">
        <v>161391624</v>
      </c>
      <c r="B8" s="3">
        <v>276.58</v>
      </c>
      <c r="C8" s="4">
        <v>44631</v>
      </c>
      <c r="D8" s="77" t="s">
        <v>3</v>
      </c>
      <c r="E8" s="78">
        <v>276.58</v>
      </c>
      <c r="H8" t="s">
        <v>12</v>
      </c>
      <c r="I8" s="1">
        <f>SUMIF($D$2:$D$28,H8,$E$2:$E$28)</f>
        <v>120</v>
      </c>
    </row>
    <row r="9" spans="1:10" x14ac:dyDescent="0.25">
      <c r="A9" s="5">
        <v>161391624</v>
      </c>
      <c r="B9" s="6">
        <v>101.93</v>
      </c>
      <c r="C9" s="7">
        <v>44634</v>
      </c>
      <c r="D9" s="30" t="s">
        <v>5</v>
      </c>
      <c r="E9" s="74">
        <v>51.93</v>
      </c>
      <c r="H9" t="s">
        <v>14</v>
      </c>
      <c r="I9" s="1">
        <f>SUMIF($D$2:$D$28,H9,$E$2:$E$28)</f>
        <v>576.90000000000009</v>
      </c>
    </row>
    <row r="10" spans="1:10" x14ac:dyDescent="0.25">
      <c r="A10" s="8"/>
      <c r="B10" s="68"/>
      <c r="C10" s="68"/>
      <c r="D10" s="31" t="s">
        <v>3</v>
      </c>
      <c r="E10" s="76">
        <v>50</v>
      </c>
      <c r="H10" t="s">
        <v>13</v>
      </c>
      <c r="I10" s="9">
        <f>SUMIF($D$2:$D$28,H10,$E$2:$E$28)</f>
        <v>317.28000000000003</v>
      </c>
    </row>
    <row r="11" spans="1:10" x14ac:dyDescent="0.25">
      <c r="A11" s="2">
        <v>161391624</v>
      </c>
      <c r="B11" s="3">
        <v>65.489999999999995</v>
      </c>
      <c r="C11" s="4">
        <v>44635</v>
      </c>
      <c r="D11" s="77" t="s">
        <v>3</v>
      </c>
      <c r="E11" s="78">
        <v>65.489999999999995</v>
      </c>
      <c r="I11" s="11">
        <f>SUM(I8:I10)</f>
        <v>1014.1800000000001</v>
      </c>
      <c r="J11" t="s">
        <v>11</v>
      </c>
    </row>
    <row r="12" spans="1:10" x14ac:dyDescent="0.25">
      <c r="A12" s="2">
        <v>161391624</v>
      </c>
      <c r="B12" s="3">
        <v>171.53</v>
      </c>
      <c r="C12" s="4">
        <v>44637</v>
      </c>
      <c r="D12" s="77" t="s">
        <v>3</v>
      </c>
      <c r="E12" s="78">
        <v>171.53</v>
      </c>
    </row>
    <row r="13" spans="1:10" x14ac:dyDescent="0.25">
      <c r="A13" s="2">
        <v>161391624</v>
      </c>
      <c r="B13" s="3">
        <v>25</v>
      </c>
      <c r="C13" s="4">
        <v>44641</v>
      </c>
      <c r="D13" s="77" t="s">
        <v>3</v>
      </c>
      <c r="E13" s="78">
        <v>25</v>
      </c>
      <c r="I13" s="11">
        <f>+I11+I5</f>
        <v>3907.0699999999997</v>
      </c>
    </row>
    <row r="14" spans="1:10" x14ac:dyDescent="0.25">
      <c r="A14" s="5">
        <v>161391624</v>
      </c>
      <c r="B14" s="6">
        <v>338.06</v>
      </c>
      <c r="C14" s="7">
        <v>44643</v>
      </c>
      <c r="D14" s="30" t="s">
        <v>12</v>
      </c>
      <c r="E14" s="74">
        <v>40</v>
      </c>
    </row>
    <row r="15" spans="1:10" x14ac:dyDescent="0.25">
      <c r="A15" s="65"/>
      <c r="B15" s="15"/>
      <c r="C15" s="16"/>
      <c r="D15" s="21" t="s">
        <v>14</v>
      </c>
      <c r="E15" s="75">
        <v>192.3</v>
      </c>
    </row>
    <row r="16" spans="1:10" x14ac:dyDescent="0.25">
      <c r="A16" s="8"/>
      <c r="B16" s="9"/>
      <c r="C16" s="10"/>
      <c r="D16" s="31" t="s">
        <v>13</v>
      </c>
      <c r="E16" s="76">
        <v>105.76</v>
      </c>
    </row>
    <row r="17" spans="1:5" x14ac:dyDescent="0.25">
      <c r="A17" s="5">
        <v>161391624</v>
      </c>
      <c r="B17" s="6">
        <v>920.63</v>
      </c>
      <c r="C17" s="7">
        <v>44648</v>
      </c>
      <c r="D17" s="30" t="s">
        <v>5</v>
      </c>
      <c r="E17" s="74">
        <v>115.59</v>
      </c>
    </row>
    <row r="18" spans="1:5" x14ac:dyDescent="0.25">
      <c r="A18" s="8"/>
      <c r="B18" s="9"/>
      <c r="C18" s="10"/>
      <c r="D18" s="31" t="s">
        <v>3</v>
      </c>
      <c r="E18" s="76">
        <f>180.04+625</f>
        <v>805.04</v>
      </c>
    </row>
    <row r="19" spans="1:5" x14ac:dyDescent="0.25">
      <c r="A19" s="2">
        <v>161391624</v>
      </c>
      <c r="B19" s="3">
        <v>51.24</v>
      </c>
      <c r="C19" s="4">
        <v>44649</v>
      </c>
      <c r="D19" s="77" t="s">
        <v>5</v>
      </c>
      <c r="E19" s="78">
        <v>51.24</v>
      </c>
    </row>
    <row r="20" spans="1:5" x14ac:dyDescent="0.25">
      <c r="A20" s="5">
        <v>161391624</v>
      </c>
      <c r="B20" s="6">
        <v>338.06</v>
      </c>
      <c r="C20" s="7">
        <v>44650</v>
      </c>
      <c r="D20" s="30" t="s">
        <v>12</v>
      </c>
      <c r="E20" s="74">
        <v>40</v>
      </c>
    </row>
    <row r="21" spans="1:5" x14ac:dyDescent="0.25">
      <c r="A21" s="65"/>
      <c r="B21" s="15"/>
      <c r="C21" s="16"/>
      <c r="D21" s="21" t="s">
        <v>14</v>
      </c>
      <c r="E21" s="75">
        <v>192.3</v>
      </c>
    </row>
    <row r="22" spans="1:5" x14ac:dyDescent="0.25">
      <c r="A22" s="8"/>
      <c r="B22" s="9"/>
      <c r="C22" s="10"/>
      <c r="D22" s="31" t="s">
        <v>13</v>
      </c>
      <c r="E22" s="76">
        <v>105.76</v>
      </c>
    </row>
    <row r="23" spans="1:5" x14ac:dyDescent="0.25">
      <c r="A23" s="2">
        <v>161391624</v>
      </c>
      <c r="B23" s="3">
        <v>75</v>
      </c>
      <c r="C23" s="4">
        <v>44650</v>
      </c>
      <c r="D23" s="77" t="s">
        <v>5</v>
      </c>
      <c r="E23" s="78">
        <v>75</v>
      </c>
    </row>
    <row r="24" spans="1:5" x14ac:dyDescent="0.25">
      <c r="A24" s="2">
        <v>161391624</v>
      </c>
      <c r="B24" s="3">
        <v>285.81</v>
      </c>
      <c r="C24" s="4">
        <v>44651</v>
      </c>
      <c r="D24" s="77" t="s">
        <v>3</v>
      </c>
      <c r="E24" s="78">
        <v>285.81</v>
      </c>
    </row>
    <row r="25" spans="1:5" x14ac:dyDescent="0.25">
      <c r="A25" s="17"/>
      <c r="B25" s="21"/>
      <c r="C25" s="22"/>
      <c r="D25" s="21"/>
      <c r="E25" s="70"/>
    </row>
    <row r="26" spans="1:5" x14ac:dyDescent="0.25">
      <c r="A26" s="17"/>
      <c r="B26" s="21">
        <f>SUM(B2:B25)</f>
        <v>3907.0699999999997</v>
      </c>
      <c r="C26" s="22"/>
      <c r="D26" s="21"/>
      <c r="E26" s="21">
        <f>SUM(E2:E25)</f>
        <v>3907.0700000000006</v>
      </c>
    </row>
    <row r="27" spans="1:5" x14ac:dyDescent="0.25">
      <c r="A27" s="17"/>
      <c r="B27" s="21"/>
      <c r="C27" s="22"/>
      <c r="D27" s="21"/>
      <c r="E27" s="70"/>
    </row>
    <row r="28" spans="1:5" x14ac:dyDescent="0.25">
      <c r="A28" s="17"/>
      <c r="B28" s="17"/>
      <c r="C28" s="17"/>
      <c r="D28" s="21"/>
      <c r="E28" s="70"/>
    </row>
    <row r="29" spans="1:5" x14ac:dyDescent="0.25">
      <c r="A29" s="17"/>
      <c r="B29" s="21"/>
      <c r="C29" s="22"/>
      <c r="D29" s="21"/>
      <c r="E29" s="70"/>
    </row>
    <row r="30" spans="1:5" x14ac:dyDescent="0.25">
      <c r="A30" s="17"/>
      <c r="B30" s="21"/>
      <c r="C30" s="22"/>
      <c r="D30" s="21"/>
      <c r="E30" s="70"/>
    </row>
    <row r="31" spans="1:5" x14ac:dyDescent="0.25">
      <c r="A31" s="17"/>
      <c r="B31" s="21"/>
      <c r="C31" s="22"/>
      <c r="D31" s="21"/>
      <c r="E31" s="70"/>
    </row>
    <row r="32" spans="1:5" x14ac:dyDescent="0.25">
      <c r="A32" s="17"/>
      <c r="B32" s="21"/>
      <c r="C32" s="22"/>
      <c r="D32" s="21"/>
      <c r="E32" s="70"/>
    </row>
    <row r="33" spans="1:5" x14ac:dyDescent="0.25">
      <c r="A33" s="17"/>
      <c r="B33" s="23"/>
      <c r="C33" s="22"/>
      <c r="D33" s="17"/>
      <c r="E33" s="71"/>
    </row>
    <row r="34" spans="1:5" x14ac:dyDescent="0.25">
      <c r="A34" s="17"/>
      <c r="B34" s="24"/>
      <c r="C34" s="22"/>
      <c r="D34" s="17"/>
      <c r="E34" s="72"/>
    </row>
    <row r="35" spans="1:5" x14ac:dyDescent="0.25">
      <c r="A35" s="17"/>
      <c r="B35" s="23"/>
      <c r="C35" s="22"/>
      <c r="D35" s="17"/>
      <c r="E35" s="71"/>
    </row>
    <row r="36" spans="1:5" x14ac:dyDescent="0.25">
      <c r="B36" s="13"/>
      <c r="E36" s="73"/>
    </row>
  </sheetData>
  <sortState xmlns:xlrd2="http://schemas.microsoft.com/office/spreadsheetml/2017/richdata2" ref="A2:C23">
    <sortCondition ref="C2:C2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FD24-537B-4522-9D70-37073FD43A6A}">
  <dimension ref="A1:J29"/>
  <sheetViews>
    <sheetView showGridLines="0" workbookViewId="0">
      <selection activeCell="D7" sqref="D7"/>
    </sheetView>
  </sheetViews>
  <sheetFormatPr defaultRowHeight="15" x14ac:dyDescent="0.25"/>
  <cols>
    <col min="1" max="1" width="10.85546875" bestFit="1" customWidth="1"/>
    <col min="2" max="2" width="10.5703125" style="11" bestFit="1" customWidth="1"/>
    <col min="3" max="3" width="11.5703125" bestFit="1" customWidth="1"/>
    <col min="4" max="4" width="9.28515625" bestFit="1" customWidth="1"/>
    <col min="5" max="5" width="38" style="1" customWidth="1"/>
    <col min="6" max="6" width="10.5703125" style="11" bestFit="1" customWidth="1"/>
    <col min="8" max="8" width="11.5703125" bestFit="1" customWidth="1"/>
    <col min="9" max="9" width="10.5703125" bestFit="1" customWidth="1"/>
  </cols>
  <sheetData>
    <row r="1" spans="1:10" x14ac:dyDescent="0.25">
      <c r="A1" t="s">
        <v>0</v>
      </c>
      <c r="B1" s="11" t="s">
        <v>15</v>
      </c>
      <c r="C1" t="s">
        <v>2</v>
      </c>
      <c r="D1" t="s">
        <v>4</v>
      </c>
      <c r="E1" s="1" t="s">
        <v>16</v>
      </c>
      <c r="F1" s="11" t="s">
        <v>15</v>
      </c>
      <c r="H1" s="12"/>
    </row>
    <row r="2" spans="1:10" x14ac:dyDescent="0.25">
      <c r="A2" s="17">
        <v>161391624</v>
      </c>
      <c r="B2" s="79">
        <v>58.8</v>
      </c>
      <c r="C2" s="22">
        <v>44655</v>
      </c>
      <c r="D2" s="17" t="s">
        <v>6</v>
      </c>
      <c r="E2" s="21" t="s">
        <v>17</v>
      </c>
      <c r="F2" s="11">
        <v>58.8</v>
      </c>
    </row>
    <row r="3" spans="1:10" x14ac:dyDescent="0.25">
      <c r="A3" s="17">
        <v>161391624</v>
      </c>
      <c r="B3" s="79">
        <v>100</v>
      </c>
      <c r="C3" s="22">
        <v>44658</v>
      </c>
      <c r="D3" s="17" t="s">
        <v>6</v>
      </c>
      <c r="E3" s="21" t="s">
        <v>17</v>
      </c>
      <c r="F3" s="11">
        <v>100</v>
      </c>
      <c r="H3" t="s">
        <v>5</v>
      </c>
      <c r="I3" s="1">
        <f>B10+B11+B12+B13+B15+B24+B25</f>
        <v>1179.8800000000001</v>
      </c>
    </row>
    <row r="4" spans="1:10" x14ac:dyDescent="0.25">
      <c r="A4" s="17">
        <v>161391624</v>
      </c>
      <c r="B4" s="79">
        <v>100</v>
      </c>
      <c r="C4" s="22">
        <v>44678</v>
      </c>
      <c r="D4" s="17" t="s">
        <v>6</v>
      </c>
      <c r="E4" s="21" t="s">
        <v>17</v>
      </c>
      <c r="F4" s="11">
        <v>100</v>
      </c>
      <c r="H4" t="s">
        <v>3</v>
      </c>
      <c r="I4" s="1">
        <f>B7+B8+B9+B14+B16+B18+B17+B19+B20+B21+B22+B23</f>
        <v>497.6</v>
      </c>
    </row>
    <row r="5" spans="1:10" x14ac:dyDescent="0.25">
      <c r="A5" s="17">
        <v>161391624</v>
      </c>
      <c r="B5" s="79">
        <v>15</v>
      </c>
      <c r="C5" s="22">
        <v>44680</v>
      </c>
      <c r="D5" s="17" t="s">
        <v>6</v>
      </c>
      <c r="E5" s="21" t="s">
        <v>17</v>
      </c>
      <c r="F5" s="11">
        <v>15</v>
      </c>
      <c r="H5" t="s">
        <v>6</v>
      </c>
      <c r="I5" s="9">
        <f>B2+B3+B4+B5+B6</f>
        <v>288.8</v>
      </c>
    </row>
    <row r="6" spans="1:10" x14ac:dyDescent="0.25">
      <c r="A6" s="17">
        <v>161391624</v>
      </c>
      <c r="B6" s="79">
        <v>15</v>
      </c>
      <c r="C6" s="22">
        <v>44659</v>
      </c>
      <c r="D6" s="17" t="s">
        <v>6</v>
      </c>
      <c r="E6" s="21" t="s">
        <v>17</v>
      </c>
      <c r="F6" s="11">
        <v>15</v>
      </c>
      <c r="I6" s="15"/>
    </row>
    <row r="7" spans="1:10" x14ac:dyDescent="0.25">
      <c r="A7" s="17">
        <v>161391624</v>
      </c>
      <c r="B7" s="79">
        <v>38.64</v>
      </c>
      <c r="C7" s="22">
        <v>44676</v>
      </c>
      <c r="D7" s="17" t="s">
        <v>3</v>
      </c>
      <c r="E7" s="21" t="s">
        <v>18</v>
      </c>
      <c r="F7" s="11">
        <v>38.64</v>
      </c>
      <c r="I7" s="11">
        <f>SUM(I3:I5)</f>
        <v>1966.28</v>
      </c>
      <c r="J7" t="s">
        <v>9</v>
      </c>
    </row>
    <row r="8" spans="1:10" x14ac:dyDescent="0.25">
      <c r="A8" s="17">
        <v>161391624</v>
      </c>
      <c r="B8" s="79">
        <v>19.98</v>
      </c>
      <c r="C8" s="22">
        <v>44669</v>
      </c>
      <c r="D8" s="17" t="s">
        <v>3</v>
      </c>
      <c r="E8" s="21" t="s">
        <v>18</v>
      </c>
      <c r="F8" s="11">
        <v>19.98</v>
      </c>
    </row>
    <row r="9" spans="1:10" x14ac:dyDescent="0.25">
      <c r="A9" s="17">
        <v>161391624</v>
      </c>
      <c r="B9" s="79">
        <v>103.93</v>
      </c>
      <c r="C9" s="22">
        <v>44669</v>
      </c>
      <c r="D9" s="17" t="s">
        <v>3</v>
      </c>
      <c r="E9" s="21" t="s">
        <v>18</v>
      </c>
      <c r="F9" s="11">
        <v>103.93</v>
      </c>
    </row>
    <row r="10" spans="1:10" x14ac:dyDescent="0.25">
      <c r="A10" s="17">
        <v>161391624</v>
      </c>
      <c r="B10" s="79">
        <v>165</v>
      </c>
      <c r="C10" s="22">
        <v>44663</v>
      </c>
      <c r="D10" s="17" t="s">
        <v>5</v>
      </c>
      <c r="E10" s="21" t="s">
        <v>18</v>
      </c>
      <c r="F10" s="11">
        <v>165</v>
      </c>
    </row>
    <row r="11" spans="1:10" x14ac:dyDescent="0.25">
      <c r="A11" s="17">
        <v>161391624</v>
      </c>
      <c r="B11" s="79">
        <v>341.53</v>
      </c>
      <c r="C11" s="22">
        <v>44676</v>
      </c>
      <c r="D11" s="17" t="s">
        <v>5</v>
      </c>
      <c r="E11" s="21" t="s">
        <v>18</v>
      </c>
      <c r="F11" s="11">
        <v>341.53</v>
      </c>
    </row>
    <row r="12" spans="1:10" x14ac:dyDescent="0.25">
      <c r="A12" s="17">
        <v>161391624</v>
      </c>
      <c r="B12" s="79">
        <v>31.99</v>
      </c>
      <c r="C12" s="22">
        <v>44676</v>
      </c>
      <c r="D12" s="17" t="s">
        <v>5</v>
      </c>
      <c r="E12" s="21" t="s">
        <v>18</v>
      </c>
      <c r="F12" s="11">
        <v>31.99</v>
      </c>
    </row>
    <row r="13" spans="1:10" x14ac:dyDescent="0.25">
      <c r="A13" s="17">
        <v>161391624</v>
      </c>
      <c r="B13" s="79">
        <v>30.58</v>
      </c>
      <c r="C13" s="22">
        <v>44664</v>
      </c>
      <c r="D13" s="17" t="s">
        <v>5</v>
      </c>
      <c r="E13" s="21" t="s">
        <v>17</v>
      </c>
      <c r="F13" s="11">
        <v>30.58</v>
      </c>
    </row>
    <row r="14" spans="1:10" x14ac:dyDescent="0.25">
      <c r="A14" s="17">
        <v>161391624</v>
      </c>
      <c r="B14" s="79">
        <v>16.48</v>
      </c>
      <c r="C14" s="22">
        <v>44680</v>
      </c>
      <c r="D14" s="17" t="s">
        <v>3</v>
      </c>
      <c r="E14" s="21" t="s">
        <v>18</v>
      </c>
      <c r="F14" s="11">
        <v>16.48</v>
      </c>
    </row>
    <row r="15" spans="1:10" x14ac:dyDescent="0.25">
      <c r="A15" s="17">
        <v>161391624</v>
      </c>
      <c r="B15" s="79">
        <v>116.2</v>
      </c>
      <c r="C15" s="22">
        <v>44680</v>
      </c>
      <c r="D15" s="17" t="s">
        <v>5</v>
      </c>
      <c r="E15" s="21" t="s">
        <v>18</v>
      </c>
      <c r="F15" s="11">
        <v>116.2</v>
      </c>
    </row>
    <row r="16" spans="1:10" x14ac:dyDescent="0.25">
      <c r="A16" s="17">
        <v>161391624</v>
      </c>
      <c r="B16" s="79">
        <v>4.72</v>
      </c>
      <c r="C16" s="22">
        <v>44662</v>
      </c>
      <c r="D16" s="17" t="s">
        <v>3</v>
      </c>
      <c r="E16" s="21" t="s">
        <v>18</v>
      </c>
      <c r="F16" s="11">
        <v>4.72</v>
      </c>
    </row>
    <row r="17" spans="1:6" x14ac:dyDescent="0.25">
      <c r="A17" s="17">
        <v>161391624</v>
      </c>
      <c r="B17" s="79">
        <v>29.99</v>
      </c>
      <c r="C17" s="22">
        <v>44676</v>
      </c>
      <c r="D17" s="17" t="s">
        <v>3</v>
      </c>
      <c r="E17" s="21" t="s">
        <v>18</v>
      </c>
      <c r="F17" s="11">
        <v>29.99</v>
      </c>
    </row>
    <row r="18" spans="1:6" x14ac:dyDescent="0.25">
      <c r="A18" s="17">
        <v>161391624</v>
      </c>
      <c r="B18" s="79">
        <v>3.53</v>
      </c>
      <c r="C18" s="22">
        <v>44669</v>
      </c>
      <c r="D18" s="17" t="s">
        <v>3</v>
      </c>
      <c r="E18" s="21" t="s">
        <v>18</v>
      </c>
      <c r="F18" s="11">
        <v>3.53</v>
      </c>
    </row>
    <row r="19" spans="1:6" x14ac:dyDescent="0.25">
      <c r="A19" s="17">
        <v>161391624</v>
      </c>
      <c r="B19" s="79">
        <v>21.72</v>
      </c>
      <c r="C19" s="22">
        <v>44672</v>
      </c>
      <c r="D19" s="17" t="s">
        <v>3</v>
      </c>
      <c r="E19" s="21" t="s">
        <v>18</v>
      </c>
      <c r="F19" s="11">
        <v>21.72</v>
      </c>
    </row>
    <row r="20" spans="1:6" x14ac:dyDescent="0.25">
      <c r="A20" s="17">
        <v>161391624</v>
      </c>
      <c r="B20" s="79">
        <v>171.96</v>
      </c>
      <c r="C20" s="22">
        <v>44676</v>
      </c>
      <c r="D20" s="17" t="s">
        <v>3</v>
      </c>
      <c r="E20" s="21" t="s">
        <v>18</v>
      </c>
      <c r="F20" s="11">
        <v>171.96</v>
      </c>
    </row>
    <row r="21" spans="1:6" x14ac:dyDescent="0.25">
      <c r="A21" s="17">
        <v>161391624</v>
      </c>
      <c r="B21" s="79">
        <v>8.75</v>
      </c>
      <c r="C21" s="22">
        <v>44676</v>
      </c>
      <c r="D21" s="17" t="s">
        <v>3</v>
      </c>
      <c r="E21" s="21" t="s">
        <v>18</v>
      </c>
      <c r="F21" s="11">
        <v>8.75</v>
      </c>
    </row>
    <row r="22" spans="1:6" x14ac:dyDescent="0.25">
      <c r="A22" s="17">
        <v>161391624</v>
      </c>
      <c r="B22" s="24">
        <v>42.9</v>
      </c>
      <c r="C22" s="22">
        <v>44664</v>
      </c>
      <c r="D22" s="17" t="s">
        <v>3</v>
      </c>
      <c r="E22" s="21" t="s">
        <v>18</v>
      </c>
      <c r="F22" s="11">
        <v>42.9</v>
      </c>
    </row>
    <row r="23" spans="1:6" x14ac:dyDescent="0.25">
      <c r="A23" s="17">
        <v>161391624</v>
      </c>
      <c r="B23" s="24">
        <v>35</v>
      </c>
      <c r="C23" s="22">
        <v>44665</v>
      </c>
      <c r="D23" s="17" t="s">
        <v>3</v>
      </c>
      <c r="E23" s="21" t="s">
        <v>18</v>
      </c>
      <c r="F23" s="11">
        <v>35</v>
      </c>
    </row>
    <row r="24" spans="1:6" x14ac:dyDescent="0.25">
      <c r="A24" s="17">
        <v>161391624</v>
      </c>
      <c r="B24" s="24">
        <v>484.08</v>
      </c>
      <c r="C24" s="22">
        <v>44677</v>
      </c>
      <c r="D24" s="17" t="s">
        <v>5</v>
      </c>
      <c r="E24" s="21" t="s">
        <v>18</v>
      </c>
      <c r="F24" s="11">
        <v>484.08</v>
      </c>
    </row>
    <row r="25" spans="1:6" x14ac:dyDescent="0.25">
      <c r="A25" s="17">
        <v>161391624</v>
      </c>
      <c r="B25" s="24">
        <v>10.5</v>
      </c>
      <c r="C25" s="22">
        <v>44659</v>
      </c>
      <c r="D25" s="17" t="s">
        <v>5</v>
      </c>
      <c r="E25" s="24" t="s">
        <v>18</v>
      </c>
      <c r="F25" s="11">
        <v>10.5</v>
      </c>
    </row>
    <row r="26" spans="1:6" x14ac:dyDescent="0.25">
      <c r="A26" s="17"/>
      <c r="B26" s="24">
        <v>1966.28</v>
      </c>
      <c r="C26" s="22"/>
      <c r="D26" s="17"/>
      <c r="E26" s="21"/>
      <c r="F26" s="11">
        <v>1966.28</v>
      </c>
    </row>
    <row r="27" spans="1:6" x14ac:dyDescent="0.25">
      <c r="A27" s="17"/>
      <c r="B27" s="24"/>
      <c r="C27" s="22"/>
      <c r="D27" s="17"/>
      <c r="E27" s="21"/>
    </row>
    <row r="28" spans="1:6" x14ac:dyDescent="0.25">
      <c r="A28" s="17"/>
      <c r="B28" s="24"/>
      <c r="C28" s="22"/>
      <c r="D28" s="17"/>
      <c r="E28" s="21"/>
    </row>
    <row r="29" spans="1:6" x14ac:dyDescent="0.25">
      <c r="A29" s="17"/>
      <c r="B29" s="24"/>
      <c r="C29" s="22"/>
      <c r="D29" s="17"/>
      <c r="E29" s="21"/>
    </row>
  </sheetData>
  <sortState xmlns:xlrd2="http://schemas.microsoft.com/office/spreadsheetml/2017/richdata2" ref="A2:E21">
    <sortCondition ref="C2:C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C321-0C1E-4E20-A168-05ADFA57DF73}">
  <dimension ref="A1:I37"/>
  <sheetViews>
    <sheetView showGridLines="0" tabSelected="1" topLeftCell="A2" workbookViewId="0">
      <selection activeCell="N26" sqref="N26"/>
    </sheetView>
  </sheetViews>
  <sheetFormatPr defaultRowHeight="15" x14ac:dyDescent="0.25"/>
  <cols>
    <col min="1" max="1" width="11.140625" customWidth="1"/>
    <col min="2" max="2" width="11.140625" style="11" customWidth="1"/>
    <col min="3" max="3" width="11.5703125" bestFit="1" customWidth="1"/>
    <col min="4" max="4" width="11.5703125" customWidth="1"/>
    <col min="5" max="5" width="34" customWidth="1"/>
    <col min="6" max="6" width="10.5703125" style="11" bestFit="1" customWidth="1"/>
    <col min="7" max="7" width="12.140625" customWidth="1"/>
    <col min="8" max="8" width="14.28515625" customWidth="1"/>
  </cols>
  <sheetData>
    <row r="1" spans="1:9" x14ac:dyDescent="0.25">
      <c r="A1" s="80" t="s">
        <v>0</v>
      </c>
      <c r="B1" s="84" t="s">
        <v>1</v>
      </c>
      <c r="C1" s="80" t="s">
        <v>4</v>
      </c>
      <c r="D1" s="80" t="s">
        <v>2</v>
      </c>
      <c r="E1" s="80" t="s">
        <v>16</v>
      </c>
      <c r="F1" s="84" t="s">
        <v>1</v>
      </c>
    </row>
    <row r="2" spans="1:9" x14ac:dyDescent="0.25">
      <c r="A2" s="81">
        <v>161391624</v>
      </c>
      <c r="B2" s="85">
        <v>124.76</v>
      </c>
      <c r="C2" s="81" t="s">
        <v>3</v>
      </c>
      <c r="D2" s="82">
        <v>44683</v>
      </c>
      <c r="E2" s="81" t="s">
        <v>18</v>
      </c>
      <c r="F2" s="87">
        <v>124.76</v>
      </c>
      <c r="G2" t="s">
        <v>5</v>
      </c>
      <c r="H2" s="1">
        <f>F9+F21+F31+F33+F34</f>
        <v>728.12000000000012</v>
      </c>
    </row>
    <row r="3" spans="1:9" x14ac:dyDescent="0.25">
      <c r="A3" s="81">
        <v>161391624</v>
      </c>
      <c r="B3" s="85">
        <v>0.96</v>
      </c>
      <c r="C3" s="81" t="s">
        <v>3</v>
      </c>
      <c r="D3" s="82">
        <v>44683</v>
      </c>
      <c r="E3" s="81" t="s">
        <v>18</v>
      </c>
      <c r="F3" s="88">
        <v>0.96</v>
      </c>
      <c r="G3" t="s">
        <v>3</v>
      </c>
      <c r="H3" s="9">
        <f>F3+F4+F6+F7+F8+F11+F12+F13+F14+F15+F16+F18+F20+F23+F24+F25+F27+F29+F36+F2</f>
        <v>1340.2</v>
      </c>
    </row>
    <row r="4" spans="1:9" x14ac:dyDescent="0.25">
      <c r="A4" s="81">
        <v>161391624</v>
      </c>
      <c r="B4" s="85">
        <v>30.86</v>
      </c>
      <c r="C4" s="81" t="s">
        <v>3</v>
      </c>
      <c r="D4" s="82">
        <v>44684</v>
      </c>
      <c r="E4" s="81" t="s">
        <v>18</v>
      </c>
      <c r="F4" s="88">
        <v>30.86</v>
      </c>
      <c r="H4" s="11">
        <f>SUM(H2:H3)</f>
        <v>2068.3200000000002</v>
      </c>
      <c r="I4" t="s">
        <v>10</v>
      </c>
    </row>
    <row r="5" spans="1:9" x14ac:dyDescent="0.25">
      <c r="A5" s="81">
        <v>161391624</v>
      </c>
      <c r="B5" s="85">
        <v>45</v>
      </c>
      <c r="C5" s="81" t="s">
        <v>6</v>
      </c>
      <c r="D5" s="82">
        <v>44686</v>
      </c>
      <c r="E5" s="81" t="s">
        <v>17</v>
      </c>
      <c r="F5" s="86">
        <v>45</v>
      </c>
    </row>
    <row r="6" spans="1:9" x14ac:dyDescent="0.25">
      <c r="A6" s="81">
        <v>161391624</v>
      </c>
      <c r="B6" s="85">
        <v>80.73</v>
      </c>
      <c r="C6" s="81" t="s">
        <v>3</v>
      </c>
      <c r="D6" s="82">
        <v>44690</v>
      </c>
      <c r="E6" s="81" t="s">
        <v>18</v>
      </c>
      <c r="F6" s="88">
        <v>80.73</v>
      </c>
    </row>
    <row r="7" spans="1:9" x14ac:dyDescent="0.25">
      <c r="A7" s="81">
        <v>161391624</v>
      </c>
      <c r="B7" s="85">
        <v>78.849999999999994</v>
      </c>
      <c r="C7" s="81" t="s">
        <v>3</v>
      </c>
      <c r="D7" s="82">
        <v>44693</v>
      </c>
      <c r="E7" s="81" t="s">
        <v>18</v>
      </c>
      <c r="F7" s="88">
        <v>78.849999999999994</v>
      </c>
      <c r="G7" t="s">
        <v>5</v>
      </c>
      <c r="H7" s="1">
        <v>0</v>
      </c>
    </row>
    <row r="8" spans="1:9" x14ac:dyDescent="0.25">
      <c r="A8" s="81">
        <v>161391624</v>
      </c>
      <c r="B8" s="85">
        <v>75</v>
      </c>
      <c r="C8" s="81" t="s">
        <v>3</v>
      </c>
      <c r="D8" s="82">
        <v>44693</v>
      </c>
      <c r="E8" s="81" t="s">
        <v>18</v>
      </c>
      <c r="F8" s="88">
        <v>75</v>
      </c>
      <c r="G8" t="s">
        <v>6</v>
      </c>
      <c r="H8" s="83">
        <f>F5+F10+F17+F19+F22+F26+F28+F30+F32+F35</f>
        <v>352.58</v>
      </c>
    </row>
    <row r="9" spans="1:9" x14ac:dyDescent="0.25">
      <c r="A9" s="81">
        <v>161391624</v>
      </c>
      <c r="B9" s="85">
        <v>57.33</v>
      </c>
      <c r="C9" s="81" t="s">
        <v>5</v>
      </c>
      <c r="D9" s="82">
        <v>44693</v>
      </c>
      <c r="E9" s="81" t="s">
        <v>18</v>
      </c>
      <c r="F9" s="87">
        <v>57.33</v>
      </c>
      <c r="H9" s="11">
        <f>SUM(H7:H8)</f>
        <v>352.58</v>
      </c>
      <c r="I9" t="s">
        <v>11</v>
      </c>
    </row>
    <row r="10" spans="1:9" x14ac:dyDescent="0.25">
      <c r="A10" s="81">
        <v>161391624</v>
      </c>
      <c r="B10" s="85">
        <v>15</v>
      </c>
      <c r="C10" s="81" t="s">
        <v>6</v>
      </c>
      <c r="D10" s="82">
        <v>44697</v>
      </c>
      <c r="E10" s="81" t="s">
        <v>17</v>
      </c>
      <c r="F10" s="86">
        <v>15</v>
      </c>
    </row>
    <row r="11" spans="1:9" x14ac:dyDescent="0.25">
      <c r="A11" s="81">
        <v>161391624</v>
      </c>
      <c r="B11" s="85">
        <v>5.01</v>
      </c>
      <c r="C11" s="81" t="s">
        <v>3</v>
      </c>
      <c r="D11" s="82">
        <v>44697</v>
      </c>
      <c r="E11" s="81" t="s">
        <v>18</v>
      </c>
      <c r="F11" s="88">
        <v>5.01</v>
      </c>
    </row>
    <row r="12" spans="1:9" x14ac:dyDescent="0.25">
      <c r="A12" s="81">
        <v>161391624</v>
      </c>
      <c r="B12" s="85">
        <v>13.49</v>
      </c>
      <c r="C12" s="81" t="s">
        <v>3</v>
      </c>
      <c r="D12" s="82">
        <v>44697</v>
      </c>
      <c r="E12" s="81" t="s">
        <v>18</v>
      </c>
      <c r="F12" s="88">
        <v>13.49</v>
      </c>
      <c r="G12" t="s">
        <v>7</v>
      </c>
      <c r="H12" s="11">
        <f>H4+H9</f>
        <v>2420.9</v>
      </c>
    </row>
    <row r="13" spans="1:9" x14ac:dyDescent="0.25">
      <c r="A13" s="81">
        <v>161391624</v>
      </c>
      <c r="B13" s="85">
        <v>14.79</v>
      </c>
      <c r="C13" s="81" t="s">
        <v>3</v>
      </c>
      <c r="D13" s="82">
        <v>44697</v>
      </c>
      <c r="E13" s="81" t="s">
        <v>18</v>
      </c>
      <c r="F13" s="88">
        <v>14.79</v>
      </c>
    </row>
    <row r="14" spans="1:9" x14ac:dyDescent="0.25">
      <c r="A14" s="81">
        <v>161391624</v>
      </c>
      <c r="B14" s="85">
        <v>42.02</v>
      </c>
      <c r="C14" s="81" t="s">
        <v>3</v>
      </c>
      <c r="D14" s="82">
        <v>44697</v>
      </c>
      <c r="E14" s="81" t="s">
        <v>18</v>
      </c>
      <c r="F14" s="88">
        <v>42.02</v>
      </c>
    </row>
    <row r="15" spans="1:9" x14ac:dyDescent="0.25">
      <c r="A15" s="81">
        <v>161391624</v>
      </c>
      <c r="B15" s="85">
        <v>223</v>
      </c>
      <c r="C15" s="81" t="s">
        <v>3</v>
      </c>
      <c r="D15" s="82">
        <v>44697</v>
      </c>
      <c r="E15" s="81" t="s">
        <v>18</v>
      </c>
      <c r="F15" s="88">
        <v>223</v>
      </c>
    </row>
    <row r="16" spans="1:9" x14ac:dyDescent="0.25">
      <c r="A16" s="81">
        <v>161391624</v>
      </c>
      <c r="B16" s="85">
        <v>120</v>
      </c>
      <c r="C16" s="81" t="s">
        <v>3</v>
      </c>
      <c r="D16" s="82">
        <v>44697</v>
      </c>
      <c r="E16" s="81" t="s">
        <v>18</v>
      </c>
      <c r="F16" s="88">
        <v>120</v>
      </c>
    </row>
    <row r="17" spans="1:6" x14ac:dyDescent="0.25">
      <c r="A17" s="81">
        <v>161391624</v>
      </c>
      <c r="B17" s="85">
        <v>7.58</v>
      </c>
      <c r="C17" s="81" t="s">
        <v>6</v>
      </c>
      <c r="D17" s="82">
        <v>44698</v>
      </c>
      <c r="E17" s="81" t="s">
        <v>17</v>
      </c>
      <c r="F17" s="86">
        <v>7.58</v>
      </c>
    </row>
    <row r="18" spans="1:6" x14ac:dyDescent="0.25">
      <c r="A18" s="81">
        <v>161391624</v>
      </c>
      <c r="B18" s="85">
        <v>46.27</v>
      </c>
      <c r="C18" s="81" t="s">
        <v>3</v>
      </c>
      <c r="D18" s="82">
        <v>44698</v>
      </c>
      <c r="E18" s="81" t="s">
        <v>18</v>
      </c>
      <c r="F18" s="88">
        <v>46.27</v>
      </c>
    </row>
    <row r="19" spans="1:6" x14ac:dyDescent="0.25">
      <c r="A19" s="81">
        <v>161391624</v>
      </c>
      <c r="B19" s="85">
        <v>100</v>
      </c>
      <c r="C19" s="81" t="s">
        <v>6</v>
      </c>
      <c r="D19" s="82">
        <v>44699</v>
      </c>
      <c r="E19" s="81" t="s">
        <v>17</v>
      </c>
      <c r="F19" s="86">
        <v>100</v>
      </c>
    </row>
    <row r="20" spans="1:6" x14ac:dyDescent="0.25">
      <c r="A20" s="81">
        <v>161391624</v>
      </c>
      <c r="B20" s="85">
        <v>138.80000000000001</v>
      </c>
      <c r="C20" s="81" t="s">
        <v>3</v>
      </c>
      <c r="D20" s="82">
        <v>44700</v>
      </c>
      <c r="E20" s="81" t="s">
        <v>18</v>
      </c>
      <c r="F20" s="88">
        <v>138.80000000000001</v>
      </c>
    </row>
    <row r="21" spans="1:6" x14ac:dyDescent="0.25">
      <c r="A21" s="81">
        <v>161391624</v>
      </c>
      <c r="B21" s="85">
        <v>77.48</v>
      </c>
      <c r="C21" s="81" t="s">
        <v>5</v>
      </c>
      <c r="D21" s="82">
        <v>44700</v>
      </c>
      <c r="E21" s="81" t="s">
        <v>18</v>
      </c>
      <c r="F21" s="87">
        <v>77.48</v>
      </c>
    </row>
    <row r="22" spans="1:6" x14ac:dyDescent="0.25">
      <c r="A22" s="81">
        <v>161391624</v>
      </c>
      <c r="B22" s="85">
        <v>15</v>
      </c>
      <c r="C22" s="81" t="s">
        <v>6</v>
      </c>
      <c r="D22" s="82">
        <v>44701</v>
      </c>
      <c r="E22" s="81" t="s">
        <v>17</v>
      </c>
      <c r="F22" s="86">
        <v>15</v>
      </c>
    </row>
    <row r="23" spans="1:6" x14ac:dyDescent="0.25">
      <c r="A23" s="81">
        <v>161391624</v>
      </c>
      <c r="B23" s="85">
        <v>21.98</v>
      </c>
      <c r="C23" s="81" t="s">
        <v>3</v>
      </c>
      <c r="D23" s="82">
        <v>44701</v>
      </c>
      <c r="E23" s="81" t="s">
        <v>18</v>
      </c>
      <c r="F23" s="88">
        <v>21.98</v>
      </c>
    </row>
    <row r="24" spans="1:6" x14ac:dyDescent="0.25">
      <c r="A24" s="81">
        <v>161391624</v>
      </c>
      <c r="B24" s="85">
        <v>84.56</v>
      </c>
      <c r="C24" s="81" t="s">
        <v>3</v>
      </c>
      <c r="D24" s="82">
        <v>44701</v>
      </c>
      <c r="E24" s="81" t="s">
        <v>18</v>
      </c>
      <c r="F24" s="88">
        <v>84.56</v>
      </c>
    </row>
    <row r="25" spans="1:6" x14ac:dyDescent="0.25">
      <c r="A25" s="81">
        <v>161391624</v>
      </c>
      <c r="B25" s="85">
        <v>25</v>
      </c>
      <c r="C25" s="81" t="s">
        <v>3</v>
      </c>
      <c r="D25" s="82">
        <v>44701</v>
      </c>
      <c r="E25" s="81" t="s">
        <v>18</v>
      </c>
      <c r="F25" s="88">
        <v>25</v>
      </c>
    </row>
    <row r="26" spans="1:6" x14ac:dyDescent="0.25">
      <c r="A26" s="81">
        <v>161391624</v>
      </c>
      <c r="B26" s="85">
        <v>110</v>
      </c>
      <c r="C26" s="81" t="s">
        <v>6</v>
      </c>
      <c r="D26" s="82">
        <v>44704</v>
      </c>
      <c r="E26" s="81" t="s">
        <v>17</v>
      </c>
      <c r="F26" s="86">
        <v>110</v>
      </c>
    </row>
    <row r="27" spans="1:6" x14ac:dyDescent="0.25">
      <c r="A27" s="81">
        <v>161391624</v>
      </c>
      <c r="B27" s="85">
        <v>163.12</v>
      </c>
      <c r="C27" s="81" t="s">
        <v>3</v>
      </c>
      <c r="D27" s="82">
        <v>44704</v>
      </c>
      <c r="E27" s="81" t="s">
        <v>18</v>
      </c>
      <c r="F27" s="88">
        <v>163.12</v>
      </c>
    </row>
    <row r="28" spans="1:6" x14ac:dyDescent="0.25">
      <c r="A28" s="81">
        <v>161391624</v>
      </c>
      <c r="B28" s="85">
        <v>15</v>
      </c>
      <c r="C28" s="81" t="s">
        <v>6</v>
      </c>
      <c r="D28" s="82">
        <v>44705</v>
      </c>
      <c r="E28" s="81" t="s">
        <v>17</v>
      </c>
      <c r="F28" s="86">
        <v>15</v>
      </c>
    </row>
    <row r="29" spans="1:6" x14ac:dyDescent="0.25">
      <c r="A29" s="81">
        <v>161391624</v>
      </c>
      <c r="B29" s="85">
        <v>26</v>
      </c>
      <c r="C29" s="81" t="s">
        <v>3</v>
      </c>
      <c r="D29" s="82">
        <v>44706</v>
      </c>
      <c r="E29" s="81" t="s">
        <v>18</v>
      </c>
      <c r="F29" s="88">
        <v>26</v>
      </c>
    </row>
    <row r="30" spans="1:6" x14ac:dyDescent="0.25">
      <c r="A30" s="81">
        <v>161391624</v>
      </c>
      <c r="B30" s="85">
        <v>15</v>
      </c>
      <c r="C30" s="81" t="s">
        <v>6</v>
      </c>
      <c r="D30" s="82">
        <v>44707</v>
      </c>
      <c r="E30" s="81" t="s">
        <v>17</v>
      </c>
      <c r="F30" s="86">
        <v>15</v>
      </c>
    </row>
    <row r="31" spans="1:6" x14ac:dyDescent="0.25">
      <c r="A31" s="81">
        <v>161391624</v>
      </c>
      <c r="B31" s="85">
        <v>447.1</v>
      </c>
      <c r="C31" s="81" t="s">
        <v>5</v>
      </c>
      <c r="D31" s="82">
        <v>44708</v>
      </c>
      <c r="E31" s="81" t="s">
        <v>18</v>
      </c>
      <c r="F31" s="87">
        <v>447.1</v>
      </c>
    </row>
    <row r="32" spans="1:6" x14ac:dyDescent="0.25">
      <c r="A32" s="81">
        <v>161391624</v>
      </c>
      <c r="B32" s="85">
        <v>15</v>
      </c>
      <c r="C32" s="81" t="s">
        <v>6</v>
      </c>
      <c r="D32" s="82">
        <v>44709</v>
      </c>
      <c r="E32" s="81" t="s">
        <v>17</v>
      </c>
      <c r="F32" s="86">
        <v>15</v>
      </c>
    </row>
    <row r="33" spans="1:6" x14ac:dyDescent="0.25">
      <c r="A33" s="81">
        <v>161391624</v>
      </c>
      <c r="B33" s="85">
        <v>96.21</v>
      </c>
      <c r="C33" s="81" t="s">
        <v>5</v>
      </c>
      <c r="D33" s="82">
        <v>44709</v>
      </c>
      <c r="E33" s="81" t="s">
        <v>18</v>
      </c>
      <c r="F33" s="87">
        <v>96.21</v>
      </c>
    </row>
    <row r="34" spans="1:6" x14ac:dyDescent="0.25">
      <c r="A34" s="81">
        <v>161391624</v>
      </c>
      <c r="B34" s="85">
        <v>50</v>
      </c>
      <c r="C34" s="81" t="s">
        <v>5</v>
      </c>
      <c r="D34" s="82">
        <v>44709</v>
      </c>
      <c r="E34" s="81" t="s">
        <v>18</v>
      </c>
      <c r="F34" s="87">
        <v>50</v>
      </c>
    </row>
    <row r="35" spans="1:6" x14ac:dyDescent="0.25">
      <c r="A35" s="81">
        <v>161391624</v>
      </c>
      <c r="B35" s="85">
        <v>15</v>
      </c>
      <c r="C35" s="81" t="s">
        <v>6</v>
      </c>
      <c r="D35" s="82">
        <v>44711</v>
      </c>
      <c r="E35" s="81" t="s">
        <v>17</v>
      </c>
      <c r="F35" s="86">
        <v>15</v>
      </c>
    </row>
    <row r="36" spans="1:6" x14ac:dyDescent="0.25">
      <c r="A36" s="81">
        <v>161391624</v>
      </c>
      <c r="B36" s="85">
        <v>25</v>
      </c>
      <c r="C36" s="81" t="s">
        <v>3</v>
      </c>
      <c r="D36" s="82">
        <v>44711</v>
      </c>
      <c r="E36" s="81" t="s">
        <v>18</v>
      </c>
      <c r="F36" s="88">
        <v>25</v>
      </c>
    </row>
    <row r="37" spans="1:6" x14ac:dyDescent="0.25">
      <c r="A37" s="81"/>
      <c r="B37" s="84">
        <f>SUM(B2:B36)</f>
        <v>2420.9</v>
      </c>
      <c r="C37" s="81"/>
      <c r="D37" s="81"/>
      <c r="E37" s="81"/>
      <c r="F37" s="84">
        <f>SUM(F2:F36)</f>
        <v>2420.9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F6E2-A2F2-4531-9915-367F48F8385F}">
  <dimension ref="A1:I14"/>
  <sheetViews>
    <sheetView showGridLines="0" workbookViewId="0">
      <selection activeCell="A2" sqref="A2:E12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.5703125" bestFit="1" customWidth="1"/>
    <col min="4" max="4" width="11.5703125" customWidth="1"/>
    <col min="5" max="5" width="11.42578125" customWidth="1"/>
    <col min="7" max="7" width="10.5703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1</v>
      </c>
      <c r="E1" t="s">
        <v>4</v>
      </c>
      <c r="G1" s="17"/>
    </row>
    <row r="2" spans="1:9" x14ac:dyDescent="0.25">
      <c r="A2" s="17"/>
      <c r="B2" s="21"/>
      <c r="C2" s="22"/>
      <c r="D2" s="21"/>
      <c r="E2" s="22"/>
      <c r="G2" t="s">
        <v>5</v>
      </c>
      <c r="H2" s="1">
        <f>+D6</f>
        <v>0</v>
      </c>
    </row>
    <row r="3" spans="1:9" x14ac:dyDescent="0.25">
      <c r="A3" s="17"/>
      <c r="B3" s="21"/>
      <c r="C3" s="22"/>
      <c r="D3" s="21"/>
      <c r="E3" s="22"/>
      <c r="G3" t="s">
        <v>3</v>
      </c>
      <c r="H3" s="9">
        <f>+D2+D3+D7+D8+D9</f>
        <v>0</v>
      </c>
    </row>
    <row r="4" spans="1:9" x14ac:dyDescent="0.25">
      <c r="A4" s="17"/>
      <c r="B4" s="21"/>
      <c r="C4" s="22"/>
      <c r="D4" s="21"/>
      <c r="E4" s="22"/>
      <c r="H4" s="11">
        <f>SUM(H2:H3)</f>
        <v>0</v>
      </c>
      <c r="I4" t="s">
        <v>10</v>
      </c>
    </row>
    <row r="5" spans="1:9" x14ac:dyDescent="0.25">
      <c r="A5" s="17"/>
      <c r="B5" s="17"/>
      <c r="C5" s="17"/>
      <c r="D5" s="21"/>
      <c r="E5" s="22"/>
    </row>
    <row r="6" spans="1:9" x14ac:dyDescent="0.25">
      <c r="A6" s="17"/>
      <c r="B6" s="21"/>
      <c r="C6" s="22"/>
      <c r="D6" s="21"/>
      <c r="E6" s="22"/>
    </row>
    <row r="7" spans="1:9" x14ac:dyDescent="0.25">
      <c r="A7" s="17"/>
      <c r="B7" s="21"/>
      <c r="C7" s="22"/>
      <c r="D7" s="21"/>
      <c r="E7" s="22"/>
      <c r="G7" t="s">
        <v>5</v>
      </c>
      <c r="H7" s="1">
        <f>+D5+D11</f>
        <v>0</v>
      </c>
    </row>
    <row r="8" spans="1:9" x14ac:dyDescent="0.25">
      <c r="A8" s="17"/>
      <c r="B8" s="21"/>
      <c r="C8" s="22"/>
      <c r="D8" s="21"/>
      <c r="E8" s="22"/>
      <c r="G8" t="s">
        <v>6</v>
      </c>
      <c r="H8" s="9">
        <f>+D4+D10</f>
        <v>0</v>
      </c>
    </row>
    <row r="9" spans="1:9" x14ac:dyDescent="0.25">
      <c r="A9" s="17"/>
      <c r="B9" s="21"/>
      <c r="C9" s="22"/>
      <c r="D9" s="21"/>
      <c r="E9" s="22"/>
      <c r="H9" s="11">
        <f>SUM(H7:H8)</f>
        <v>0</v>
      </c>
      <c r="I9" t="s">
        <v>11</v>
      </c>
    </row>
    <row r="10" spans="1:9" x14ac:dyDescent="0.25">
      <c r="A10" s="17"/>
      <c r="B10" s="21"/>
      <c r="C10" s="22"/>
      <c r="D10" s="21"/>
      <c r="E10" s="22"/>
    </row>
    <row r="11" spans="1:9" x14ac:dyDescent="0.25">
      <c r="A11" s="17"/>
      <c r="B11" s="21"/>
      <c r="C11" s="22"/>
      <c r="D11" s="21"/>
      <c r="E11" s="22"/>
    </row>
    <row r="12" spans="1:9" x14ac:dyDescent="0.25">
      <c r="A12" s="17"/>
      <c r="B12" s="21"/>
      <c r="C12" s="22"/>
      <c r="D12" s="21"/>
      <c r="E12" s="22"/>
    </row>
    <row r="14" spans="1:9" x14ac:dyDescent="0.25">
      <c r="B14" s="11">
        <f>SUM(B2:B13)</f>
        <v>0</v>
      </c>
      <c r="D14" s="11">
        <f>SUM(D2:D13)</f>
        <v>0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6E33-28CF-4E84-B23D-062EB012B2D0}">
  <dimension ref="A1:I25"/>
  <sheetViews>
    <sheetView showGridLines="0" workbookViewId="0">
      <selection activeCell="A2" sqref="A2:E20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11.42578125" customWidth="1"/>
    <col min="5" max="5" width="11.5703125" customWidth="1"/>
    <col min="7" max="8" width="10.5703125" bestFit="1" customWidth="1"/>
    <col min="9" max="9" width="10.1406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t="s">
        <v>1</v>
      </c>
      <c r="G1" s="34"/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+E4+E10+E12+E13+E17+E20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+E2+E3+E5+E6+E9+E11+E16+E18+E19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5</v>
      </c>
      <c r="H8" s="1">
        <f>+E7+E14</f>
        <v>0</v>
      </c>
    </row>
    <row r="9" spans="1:9" x14ac:dyDescent="0.25">
      <c r="A9" s="17"/>
      <c r="B9" s="21"/>
      <c r="C9" s="22"/>
      <c r="D9" s="17"/>
      <c r="E9" s="21"/>
      <c r="G9" t="s">
        <v>6</v>
      </c>
      <c r="H9" s="9">
        <f>+E8+E15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4"/>
      <c r="B21" s="15"/>
      <c r="C21" s="16"/>
      <c r="D21" s="17"/>
      <c r="E21" s="15"/>
    </row>
    <row r="22" spans="1:5" x14ac:dyDescent="0.25">
      <c r="A22" s="14"/>
      <c r="B22" s="15"/>
      <c r="C22" s="16"/>
      <c r="D22" s="17"/>
      <c r="E22" s="15"/>
    </row>
    <row r="24" spans="1:5" x14ac:dyDescent="0.25">
      <c r="E24" s="1"/>
    </row>
    <row r="25" spans="1:5" x14ac:dyDescent="0.25">
      <c r="B25" s="1">
        <f>SUM(B2:B23)</f>
        <v>0</v>
      </c>
      <c r="C25" s="1"/>
      <c r="E25" s="1">
        <f>SUM(E2:E23)</f>
        <v>0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F5C9-9AF7-4203-9A31-C0991673B0CE}">
  <dimension ref="A1:I24"/>
  <sheetViews>
    <sheetView showGridLines="0" workbookViewId="0">
      <selection activeCell="A2" sqref="A2:E18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2.85546875" customWidth="1"/>
    <col min="7" max="7" width="10.5703125" bestFit="1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t="s">
        <v>1</v>
      </c>
      <c r="G1" s="34"/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SUMIF(D2:D17,G3,E2:E17)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1">
        <f>SUMIF(D2:D17,G4,E2:E17)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SUMIF(D2:D17,G8,E2:E17)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1">
        <f>SUMIF(D2:D17,G9,E2:E17)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4"/>
      <c r="B19" s="14"/>
      <c r="C19" s="14"/>
      <c r="D19" s="17"/>
      <c r="E19" s="15"/>
    </row>
    <row r="20" spans="1:5" x14ac:dyDescent="0.25">
      <c r="B20" s="11">
        <f>SUM(B2:B18)</f>
        <v>0</v>
      </c>
      <c r="E20" s="11">
        <f>SUM(E2:E18)</f>
        <v>0</v>
      </c>
    </row>
    <row r="24" spans="1:5" x14ac:dyDescent="0.25">
      <c r="E24" s="1"/>
    </row>
  </sheetData>
  <sortState xmlns:xlrd2="http://schemas.microsoft.com/office/spreadsheetml/2017/richdata2" ref="A2:E12">
    <sortCondition ref="C2:C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798-5EE1-4F74-A697-70BDDD882867}">
  <dimension ref="A1:I21"/>
  <sheetViews>
    <sheetView showGridLines="0" workbookViewId="0">
      <selection activeCell="A2" sqref="A2:E12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17"/>
      <c r="C3" s="17"/>
      <c r="D3" s="17"/>
      <c r="E3" s="21"/>
      <c r="G3" t="s">
        <v>5</v>
      </c>
      <c r="H3" s="1">
        <f>+E4+E7+E9+E11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+E8+E10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+E2+E5</f>
        <v>0</v>
      </c>
    </row>
    <row r="10" spans="1:9" x14ac:dyDescent="0.25">
      <c r="A10" s="17"/>
      <c r="B10" s="17"/>
      <c r="C10" s="17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11">
        <f>SUM(B2:B11)</f>
        <v>0</v>
      </c>
      <c r="E14" s="11">
        <f>SUM(E2:E11)</f>
        <v>0</v>
      </c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17"/>
      <c r="C21" s="17"/>
      <c r="D21" s="17"/>
      <c r="E21" s="21"/>
    </row>
  </sheetData>
  <sortState xmlns:xlrd2="http://schemas.microsoft.com/office/spreadsheetml/2017/richdata2" ref="A2:D9">
    <sortCondition ref="C2:C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4874-2F2C-4CC8-810F-4F32A9EEE255}">
  <dimension ref="A1:I24"/>
  <sheetViews>
    <sheetView showGridLines="0" workbookViewId="0">
      <selection activeCell="A2" sqref="A2:E14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  <col min="8" max="8" width="10.5703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+E2+E5+E8+E10+E14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+E9+E11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+E3+E6+E12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+E4+E7+E13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17"/>
      <c r="C13" s="17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11">
        <f>SUM(B2:B14)</f>
        <v>0</v>
      </c>
      <c r="E17" s="11">
        <f>SUM(E2:E14)</f>
        <v>0</v>
      </c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A23" s="17"/>
      <c r="B23" s="21"/>
      <c r="C23" s="22"/>
      <c r="D23" s="17"/>
      <c r="E23" s="21"/>
    </row>
    <row r="24" spans="1:5" x14ac:dyDescent="0.25">
      <c r="A24" s="17"/>
      <c r="B24" s="17"/>
      <c r="C24" s="17"/>
      <c r="D24" s="17"/>
      <c r="E24" s="21"/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8D1-EC10-46F2-BF9B-BAC331D6C724}">
  <dimension ref="A1:J19"/>
  <sheetViews>
    <sheetView showGridLines="0" workbookViewId="0">
      <selection activeCell="A2" sqref="A2:E18"/>
    </sheetView>
  </sheetViews>
  <sheetFormatPr defaultRowHeight="15" x14ac:dyDescent="0.25"/>
  <cols>
    <col min="1" max="1" width="11.7109375" bestFit="1" customWidth="1"/>
    <col min="2" max="2" width="11.7109375" customWidth="1"/>
    <col min="3" max="3" width="12.28515625" bestFit="1" customWidth="1"/>
    <col min="4" max="4" width="9.85546875" bestFit="1" customWidth="1"/>
    <col min="5" max="5" width="10.5703125" style="1" bestFit="1" customWidth="1"/>
    <col min="7" max="7" width="13.5703125" customWidth="1"/>
    <col min="8" max="8" width="10.42578125" customWidth="1"/>
  </cols>
  <sheetData>
    <row r="1" spans="1:10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  <c r="J1" s="17"/>
    </row>
    <row r="2" spans="1:10" x14ac:dyDescent="0.25">
      <c r="A2" s="17"/>
      <c r="B2" s="21"/>
      <c r="C2" s="22"/>
      <c r="D2" s="17"/>
      <c r="E2" s="21"/>
      <c r="G2" s="17"/>
      <c r="H2" s="17"/>
      <c r="I2" s="17"/>
      <c r="J2" s="17"/>
    </row>
    <row r="3" spans="1:10" x14ac:dyDescent="0.25">
      <c r="A3" s="17"/>
      <c r="B3" s="21"/>
      <c r="C3" s="22"/>
      <c r="D3" s="17"/>
      <c r="E3" s="21"/>
      <c r="G3" t="s">
        <v>5</v>
      </c>
      <c r="H3" s="1">
        <f>+E2+E4+E5+E9+E11+E14+E17</f>
        <v>0</v>
      </c>
    </row>
    <row r="4" spans="1:10" x14ac:dyDescent="0.25">
      <c r="A4" s="17"/>
      <c r="B4" s="21"/>
      <c r="C4" s="22"/>
      <c r="D4" s="17"/>
      <c r="E4" s="21"/>
      <c r="G4" t="s">
        <v>3</v>
      </c>
      <c r="H4" s="9">
        <f>+E3+E6+E10+E12+E13</f>
        <v>0</v>
      </c>
    </row>
    <row r="5" spans="1:10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10" x14ac:dyDescent="0.25">
      <c r="A6" s="17"/>
      <c r="B6" s="21"/>
      <c r="C6" s="22"/>
      <c r="D6" s="17"/>
      <c r="E6" s="21"/>
    </row>
    <row r="7" spans="1:10" x14ac:dyDescent="0.25">
      <c r="A7" s="17"/>
      <c r="B7" s="21"/>
      <c r="C7" s="22"/>
      <c r="D7" s="17"/>
      <c r="E7" s="21"/>
    </row>
    <row r="8" spans="1:10" x14ac:dyDescent="0.25">
      <c r="A8" s="17"/>
      <c r="B8" s="17"/>
      <c r="C8" s="17"/>
      <c r="D8" s="17"/>
      <c r="E8" s="21"/>
      <c r="G8" t="s">
        <v>12</v>
      </c>
      <c r="H8" s="1">
        <f>+E7+E15</f>
        <v>0</v>
      </c>
    </row>
    <row r="9" spans="1:10" x14ac:dyDescent="0.25">
      <c r="A9" s="17"/>
      <c r="B9" s="21"/>
      <c r="C9" s="22"/>
      <c r="D9" s="17"/>
      <c r="E9" s="21"/>
      <c r="G9" t="s">
        <v>13</v>
      </c>
      <c r="H9" s="9">
        <f>+E8+E16</f>
        <v>0</v>
      </c>
    </row>
    <row r="10" spans="1:10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10" x14ac:dyDescent="0.25">
      <c r="A11" s="17"/>
      <c r="B11" s="21"/>
      <c r="C11" s="22"/>
      <c r="D11" s="17"/>
      <c r="E11" s="21"/>
    </row>
    <row r="12" spans="1:10" x14ac:dyDescent="0.25">
      <c r="A12" s="17"/>
      <c r="B12" s="17"/>
      <c r="C12" s="17"/>
      <c r="D12" s="17"/>
      <c r="E12" s="21"/>
      <c r="H12" s="11">
        <f>+H10+H5</f>
        <v>0</v>
      </c>
    </row>
    <row r="13" spans="1:10" x14ac:dyDescent="0.25">
      <c r="A13" s="17"/>
      <c r="B13" s="21"/>
      <c r="C13" s="22"/>
      <c r="D13" s="17"/>
      <c r="E13" s="21"/>
    </row>
    <row r="14" spans="1:10" x14ac:dyDescent="0.25">
      <c r="A14" s="17"/>
      <c r="B14" s="21"/>
      <c r="C14" s="22"/>
      <c r="D14" s="17"/>
      <c r="E14" s="21"/>
    </row>
    <row r="15" spans="1:10" x14ac:dyDescent="0.25">
      <c r="A15" s="17"/>
      <c r="B15" s="21"/>
      <c r="C15" s="22"/>
      <c r="D15" s="17"/>
      <c r="E15" s="21"/>
    </row>
    <row r="16" spans="1:10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B19" s="11">
        <f>SUM(B2:B18)</f>
        <v>0</v>
      </c>
      <c r="E19" s="11">
        <f>SUM(E2:E18)</f>
        <v>0</v>
      </c>
    </row>
  </sheetData>
  <sortState xmlns:xlrd2="http://schemas.microsoft.com/office/spreadsheetml/2017/richdata2" ref="A2:C14">
    <sortCondition ref="C2:C1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C992-6CFF-418C-BDEE-29B2C22CF648}">
  <dimension ref="A1:I23"/>
  <sheetViews>
    <sheetView showGridLines="0" workbookViewId="0">
      <selection activeCell="G3" sqref="G3:I13"/>
    </sheetView>
  </sheetViews>
  <sheetFormatPr defaultRowHeight="15" x14ac:dyDescent="0.25"/>
  <cols>
    <col min="1" max="1" width="10.85546875" bestFit="1" customWidth="1"/>
    <col min="2" max="2" width="12.140625" customWidth="1"/>
    <col min="3" max="3" width="11.5703125" bestFit="1" customWidth="1"/>
    <col min="4" max="4" width="9.85546875" customWidth="1"/>
    <col min="5" max="5" width="10.5703125" style="1" bestFit="1" customWidth="1"/>
    <col min="7" max="7" width="13.5703125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</row>
    <row r="2" spans="1:9" x14ac:dyDescent="0.25">
      <c r="A2" s="17"/>
      <c r="B2" s="21"/>
      <c r="C2" s="22"/>
      <c r="D2" s="17"/>
      <c r="E2" s="21"/>
      <c r="G2" s="17"/>
      <c r="H2" s="17"/>
      <c r="I2" s="17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+E2+E4+E8+E10+E12+E13+E16+E18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+E3+E7+E9+E11+E17+E19+E20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+E5+E14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+E6+E15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B23" s="11">
        <f>SUM(B2:B22)</f>
        <v>0</v>
      </c>
      <c r="E23" s="11">
        <f>SUM(E2:E22)</f>
        <v>0</v>
      </c>
    </row>
  </sheetData>
  <sortState xmlns:xlrd2="http://schemas.microsoft.com/office/spreadsheetml/2017/richdata2" ref="A2:D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Craft</dc:creator>
  <cp:lastModifiedBy>Ann Maynard</cp:lastModifiedBy>
  <dcterms:created xsi:type="dcterms:W3CDTF">2020-03-02T14:10:58Z</dcterms:created>
  <dcterms:modified xsi:type="dcterms:W3CDTF">2022-06-21T17:15:29Z</dcterms:modified>
</cp:coreProperties>
</file>