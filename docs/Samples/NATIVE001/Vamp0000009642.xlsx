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GY084-TITAN\Users$\paul\Desktop\Groups\"/>
    </mc:Choice>
  </mc:AlternateContent>
  <bookViews>
    <workbookView xWindow="0" yWindow="0" windowWidth="24000" windowHeight="10320" tabRatio="608" firstSheet="2" activeTab="2"/>
  </bookViews>
  <sheets>
    <sheet name="Chart9" sheetId="10" r:id="rId1"/>
    <sheet name="Chart8" sheetId="9" r:id="rId2"/>
    <sheet name="Benefit Data Sheet" sheetId="1" r:id="rId3"/>
  </sheets>
  <calcPr calcId="152511"/>
</workbook>
</file>

<file path=xl/calcChain.xml><?xml version="1.0" encoding="utf-8"?>
<calcChain xmlns="http://schemas.openxmlformats.org/spreadsheetml/2006/main">
  <c r="BI2" i="1" l="1"/>
  <c r="BJ2" i="1" s="1"/>
  <c r="BH2" i="1"/>
  <c r="BG2" i="1"/>
</calcChain>
</file>

<file path=xl/sharedStrings.xml><?xml version="1.0" encoding="utf-8"?>
<sst xmlns="http://schemas.openxmlformats.org/spreadsheetml/2006/main" count="117" uniqueCount="116">
  <si>
    <t>Medical Benefit Description</t>
  </si>
  <si>
    <t>Dental Benefit Description</t>
  </si>
  <si>
    <t>Employer provided Short Term Disability</t>
  </si>
  <si>
    <t>Employer provided Long Term Disability</t>
  </si>
  <si>
    <t>Employer provided Basic Life &amp; AD&amp;D</t>
  </si>
  <si>
    <t>Voluntary/Supplement Life</t>
  </si>
  <si>
    <t>Dependent Life</t>
  </si>
  <si>
    <t>Voluntary Long Term Care</t>
  </si>
  <si>
    <t>Health Care Spending Account</t>
  </si>
  <si>
    <t>Dependent Care Spending Account</t>
  </si>
  <si>
    <t>Commuter Expense Reimbursement Account</t>
  </si>
  <si>
    <t>401(k) Plan</t>
  </si>
  <si>
    <t>Profit sharing</t>
  </si>
  <si>
    <t>Annual Base Salary</t>
  </si>
  <si>
    <t>Medical Company Contribution</t>
  </si>
  <si>
    <t>Dental Company Contribution</t>
  </si>
  <si>
    <t>Vision Description</t>
  </si>
  <si>
    <t>Vision Company Contribution</t>
  </si>
  <si>
    <t>EPSTD Company Contribution</t>
  </si>
  <si>
    <t>401(k) -Company Contribution</t>
  </si>
  <si>
    <t>DCSA- Company Contribution</t>
  </si>
  <si>
    <t>Miscellaneous Benefits</t>
  </si>
  <si>
    <t>401(k) and Profit Sharing</t>
  </si>
  <si>
    <t>Credit union membership</t>
  </si>
  <si>
    <t>Direct deposit</t>
  </si>
  <si>
    <t>Employee Assistance Program</t>
  </si>
  <si>
    <t>Holidays</t>
  </si>
  <si>
    <t>Onsite child care</t>
  </si>
  <si>
    <t>Severance</t>
  </si>
  <si>
    <t>Sick days</t>
  </si>
  <si>
    <t>Tuition Reimbursement</t>
  </si>
  <si>
    <t>Uniform Expense</t>
  </si>
  <si>
    <t>Voting leave</t>
  </si>
  <si>
    <t>Wellness program</t>
  </si>
  <si>
    <t>Jury Duty Pay</t>
  </si>
  <si>
    <t>Vacation</t>
  </si>
  <si>
    <t>Bereavement Pay</t>
  </si>
  <si>
    <t>Address</t>
  </si>
  <si>
    <t>Date of Hire</t>
  </si>
  <si>
    <t>HR Contact</t>
  </si>
  <si>
    <t>HR Contact Number</t>
  </si>
  <si>
    <t>Employee Stock Purchase Plan</t>
  </si>
  <si>
    <t>Jane Doe</t>
  </si>
  <si>
    <t>MetLife Dental Plan</t>
  </si>
  <si>
    <t>Paid Yearly</t>
  </si>
  <si>
    <t>UnitedHealthcare Choice</t>
  </si>
  <si>
    <t>Vision Service Plan Discount Card</t>
  </si>
  <si>
    <t>Company Provided STD benefit equal to 60% of your weekly rate for maximum benefit period of 13 weeks</t>
  </si>
  <si>
    <t>One times salary to maximum benefit of $100,000</t>
  </si>
  <si>
    <t>No coverage</t>
  </si>
  <si>
    <t>No Coverage</t>
  </si>
  <si>
    <t>Base plan covers $1,000 per month facility for 3 years or $500 per month homecare for 6 years.</t>
  </si>
  <si>
    <t>Shares of company stock can be purchased 2 times annually with a 15% discount (see plan document for more details).</t>
  </si>
  <si>
    <t>ABC Co. is pleased to partner with you in providing for your retirement.   Our tax-deferred 401(k) plan offers you many advantages over a typical savings account.  With a 401 (k) plan, the money you put in the account is tax-deferred.  Additionally, the interest you earn on the money in your account grows without having taxes withheld, so the total grows much quicker than it would without this tax advantage.</t>
  </si>
  <si>
    <t xml:space="preserve">We have taken into consideration the personal needs which arise from the death of an immediate family member.  Up to 5 days off may be granted with pay.  </t>
  </si>
  <si>
    <t>As an employee you are eligible for membership in the Southeastern State Credit Union.  See HR for details.</t>
  </si>
  <si>
    <t xml:space="preserve">ABC Co. recognizes 10 paid holidays each year, typically: New Year's Day and the day before or after; President's Day; Memorial Day; Independence Day; Labor Day; Thanksgiving Day and the day following; and Christmas Day and the day before or after.  </t>
  </si>
  <si>
    <t xml:space="preserve">If you are chosen for jury duty you will be provided with your regular pay minus any compensation from the court for up to 10 working days.  </t>
  </si>
  <si>
    <t>Negotiated upon hire.</t>
  </si>
  <si>
    <t>$200 annually is allowed for purchase of uniforms.</t>
  </si>
  <si>
    <t xml:space="preserve">ABC Co. provides up to 2 hours to vote in both the primary and general elections held each year.  </t>
  </si>
  <si>
    <t>Company provided LTD monthly benefit begins after 90 days of total disability.  Benefit equivalent to 70% of basic monthly earnings while disabled up to age 65.</t>
  </si>
  <si>
    <t>Determined annually by board of directors based on profitability</t>
  </si>
  <si>
    <t>An employee assistance program is available for all employees and their families for confidential assistance in dealing with personal concerns.</t>
  </si>
  <si>
    <t xml:space="preserve">Up to $100 annually for eligible wellness classes, health club membership or weight loss program.  See HR for program details. </t>
  </si>
  <si>
    <t>Contact Great Kids at (800) 555-5555 for information.</t>
  </si>
  <si>
    <t xml:space="preserve">Each employee earns 10 days of vacation in the first year of employment.  One vacation day is added for each additional year of employment up to a maximum of 25 days per year.   </t>
  </si>
  <si>
    <t xml:space="preserve">Our sick leave policy is established to assist you when you are unable to work due to illness, injury, or a medical condition.  </t>
  </si>
  <si>
    <t>Direct Deposit to your financial institution is available for our convenience.  See HR for details.</t>
  </si>
  <si>
    <t>100% reimbursement of tuition and course-required books for classes pertinent to present position or next logical step.  Course must be from accredited school, college or university.  Reimbursement not to exceed $1500 annually.</t>
  </si>
  <si>
    <t>401(k) -Employee Contribution</t>
  </si>
  <si>
    <t>Medical Employee Contribution</t>
  </si>
  <si>
    <t>Dependent Life-Company Contribution</t>
  </si>
  <si>
    <t>VLTC-Company Contribution</t>
  </si>
  <si>
    <t>HCSA-Company Contribution</t>
  </si>
  <si>
    <t>Employee Stock-Company Contribution</t>
  </si>
  <si>
    <t>Dental Employee Contribution</t>
  </si>
  <si>
    <t>Vision Employee Contribution</t>
  </si>
  <si>
    <t>EPSTD Employee Contribution</t>
  </si>
  <si>
    <t>EPLTD-Employee Contribution</t>
  </si>
  <si>
    <t>EPBL &amp; AD&amp;D-Company Contribution</t>
  </si>
  <si>
    <t>EPBL &amp; AD&amp;D- Employee Contribution</t>
  </si>
  <si>
    <t>Dependent Life- Employee Contribution</t>
  </si>
  <si>
    <t>VLTC-Employee Contribution</t>
  </si>
  <si>
    <t>HCSA-Employee Contribution</t>
  </si>
  <si>
    <t>DCSA -Employee Contribution</t>
  </si>
  <si>
    <t>Profit Sharing-Company Contribution</t>
  </si>
  <si>
    <t>Profit Sharing-Employee Contribution</t>
  </si>
  <si>
    <t>Employee Stock-Employee Contribution</t>
  </si>
  <si>
    <t>EPLTD-Company Contribution</t>
  </si>
  <si>
    <t>VSL-Employee Contribution</t>
  </si>
  <si>
    <t>VSL-Company Contribution</t>
  </si>
  <si>
    <t>CERA-Employee Contribution</t>
  </si>
  <si>
    <t>CERA-Company Contribution</t>
  </si>
  <si>
    <t>088-88-8888</t>
  </si>
  <si>
    <t>Can elect to defer up to 25% of your income pretax.  Company match is 50% of withholdings up to 4%.</t>
  </si>
  <si>
    <t>State</t>
  </si>
  <si>
    <t>Zip</t>
  </si>
  <si>
    <t>WI</t>
  </si>
  <si>
    <t>2005 Contribution</t>
  </si>
  <si>
    <t>City</t>
  </si>
  <si>
    <t>First Name</t>
  </si>
  <si>
    <t>Last Name</t>
  </si>
  <si>
    <t>Smith</t>
  </si>
  <si>
    <t>Joe</t>
  </si>
  <si>
    <t>Year of Benefits in Spreadsheet</t>
  </si>
  <si>
    <t>Electrician</t>
  </si>
  <si>
    <t>Employee Job Title</t>
  </si>
  <si>
    <t>414-444-5586</t>
  </si>
  <si>
    <t>Social Security Number/Employee ID</t>
  </si>
  <si>
    <t>TOTAL COMPENSATION</t>
  </si>
  <si>
    <t>Benefits as Percent of Total Compensation</t>
  </si>
  <si>
    <t>Company Total Benefits Cost</t>
  </si>
  <si>
    <t>Employee Total Benefits Cost</t>
  </si>
  <si>
    <t>Madison</t>
  </si>
  <si>
    <t>800 Langdon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</si>
</sst>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#,##0.0_);[Red]\(#,##0.0\)"/>
  </numFmts>
  <fonts count="22" x14ac:knownFonts="1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E34625"/>
        <bgColor indexed="64"/>
      </patternFill>
    </fill>
    <fill>
      <patternFill patternType="solid">
        <fgColor rgb="FFE38825"/>
        <bgColor indexed="64"/>
      </patternFill>
    </fill>
    <fill>
      <patternFill patternType="solid">
        <fgColor rgb="FF1C6F8E"/>
        <bgColor indexed="64"/>
      </patternFill>
    </fill>
    <fill>
      <patternFill patternType="solid">
        <fgColor rgb="FF94530C"/>
        <bgColor indexed="64"/>
      </patternFill>
    </fill>
    <fill>
      <patternFill patternType="solid">
        <fgColor rgb="FFF1BC82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</borders>
  <cellStyleXfs count="4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21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2">
    <xf numFmtId="0" fontId="0" fillId="0" borderId="0" xfId="0" applyAlignment="1"/>
    <xf numFmtId="0" fontId="0" fillId="0" borderId="10" xfId="0" applyBorder="1" applyAlignment="1"/>
    <xf numFmtId="0" fontId="0" fillId="0" borderId="11" xfId="0" applyBorder="1" applyAlignment="1">
      <alignment horizontal="left" wrapText="1"/>
    </xf>
    <xf numFmtId="15" fontId="0" fillId="0" borderId="11" xfId="0" applyNumberFormat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164" fontId="0" fillId="0" borderId="10" xfId="0" applyNumberFormat="1" applyBorder="1" applyAlignment="1">
      <alignment horizontal="left" wrapText="1"/>
    </xf>
    <xf numFmtId="0" fontId="0" fillId="0" borderId="10" xfId="0" applyNumberForma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0" xfId="0" applyNumberFormat="1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1" xfId="0" applyNumberFormat="1" applyBorder="1" applyAlignment="1">
      <alignment horizontal="left" wrapText="1"/>
    </xf>
    <xf numFmtId="0" fontId="2" fillId="0" borderId="10" xfId="0" applyNumberFormat="1" applyFont="1" applyBorder="1" applyAlignment="1">
      <alignment horizontal="left" wrapText="1"/>
    </xf>
    <xf numFmtId="40" fontId="0" fillId="0" borderId="11" xfId="0" applyNumberFormat="1" applyBorder="1" applyAlignment="1">
      <alignment horizontal="left" wrapText="1"/>
    </xf>
    <xf numFmtId="40" fontId="0" fillId="0" borderId="10" xfId="0" applyNumberFormat="1" applyBorder="1" applyAlignment="1">
      <alignment horizontal="left" wrapText="1"/>
    </xf>
    <xf numFmtId="40" fontId="0" fillId="33" borderId="14" xfId="0" applyNumberFormat="1" applyFill="1" applyBorder="1" applyAlignment="1">
      <alignment horizontal="left" wrapText="1"/>
    </xf>
    <xf numFmtId="40" fontId="0" fillId="33" borderId="15" xfId="0" applyNumberFormat="1" applyFill="1" applyBorder="1" applyAlignment="1">
      <alignment horizontal="left" wrapText="1"/>
    </xf>
    <xf numFmtId="40" fontId="0" fillId="33" borderId="16" xfId="0" applyNumberFormat="1" applyFill="1" applyBorder="1" applyAlignment="1">
      <alignment horizontal="left" wrapText="1"/>
    </xf>
    <xf numFmtId="40" fontId="0" fillId="33" borderId="17" xfId="0" applyNumberFormat="1" applyFill="1" applyBorder="1" applyAlignment="1">
      <alignment horizontal="left" wrapText="1"/>
    </xf>
    <xf numFmtId="0" fontId="3" fillId="34" borderId="18" xfId="0" applyFont="1" applyFill="1" applyBorder="1" applyAlignment="1">
      <alignment horizontal="left" wrapText="1"/>
    </xf>
    <xf numFmtId="0" fontId="3" fillId="34" borderId="19" xfId="0" applyFont="1" applyFill="1" applyBorder="1" applyAlignment="1">
      <alignment horizontal="left" wrapText="1"/>
    </xf>
    <xf numFmtId="0" fontId="3" fillId="34" borderId="19" xfId="0" applyNumberFormat="1" applyFont="1" applyFill="1" applyBorder="1" applyAlignment="1">
      <alignment horizontal="left" wrapText="1"/>
    </xf>
    <xf numFmtId="164" fontId="3" fillId="34" borderId="19" xfId="0" applyNumberFormat="1" applyFont="1" applyFill="1" applyBorder="1" applyAlignment="1">
      <alignment horizontal="left" wrapText="1"/>
    </xf>
    <xf numFmtId="0" fontId="3" fillId="35" borderId="19" xfId="0" applyFont="1" applyFill="1" applyBorder="1" applyAlignment="1">
      <alignment horizontal="left" wrapText="1"/>
    </xf>
    <xf numFmtId="40" fontId="3" fillId="35" borderId="19" xfId="0" applyNumberFormat="1" applyFont="1" applyFill="1" applyBorder="1" applyAlignment="1">
      <alignment horizontal="left" wrapText="1"/>
    </xf>
    <xf numFmtId="40" fontId="3" fillId="35" borderId="20" xfId="0" applyNumberFormat="1" applyFont="1" applyFill="1" applyBorder="1" applyAlignment="1">
      <alignment horizontal="left" wrapText="1"/>
    </xf>
    <xf numFmtId="40" fontId="3" fillId="35" borderId="21" xfId="0" applyNumberFormat="1" applyFont="1" applyFill="1" applyBorder="1" applyAlignment="1">
      <alignment horizontal="left" wrapText="1"/>
    </xf>
    <xf numFmtId="0" fontId="3" fillId="36" borderId="18" xfId="0" applyFont="1" applyFill="1" applyBorder="1" applyAlignment="1">
      <alignment horizontal="left" vertical="center" wrapText="1"/>
    </xf>
    <xf numFmtId="0" fontId="3" fillId="36" borderId="19" xfId="0" applyFont="1" applyFill="1" applyBorder="1" applyAlignment="1">
      <alignment horizontal="left" wrapText="1"/>
    </xf>
    <xf numFmtId="0" fontId="3" fillId="36" borderId="20" xfId="0" applyFont="1" applyFill="1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3" xfId="0" applyNumberFormat="1" applyBorder="1" applyAlignment="1">
      <alignment horizontal="left" wrapText="1"/>
    </xf>
    <xf numFmtId="164" fontId="0" fillId="0" borderId="23" xfId="0" applyNumberFormat="1" applyBorder="1" applyAlignment="1">
      <alignment horizontal="left" wrapText="1"/>
    </xf>
    <xf numFmtId="15" fontId="0" fillId="0" borderId="23" xfId="0" applyNumberFormat="1" applyBorder="1" applyAlignment="1">
      <alignment horizontal="left" wrapText="1"/>
    </xf>
    <xf numFmtId="40" fontId="0" fillId="0" borderId="23" xfId="0" applyNumberFormat="1" applyBorder="1" applyAlignment="1">
      <alignment horizontal="left" wrapText="1"/>
    </xf>
    <xf numFmtId="40" fontId="0" fillId="33" borderId="24" xfId="0" applyNumberFormat="1" applyFill="1" applyBorder="1" applyAlignment="1">
      <alignment horizontal="left" wrapText="1"/>
    </xf>
    <xf numFmtId="165" fontId="0" fillId="33" borderId="25" xfId="0" applyNumberFormat="1" applyFill="1" applyBorder="1" applyAlignment="1">
      <alignment horizontal="left" wrapText="1"/>
    </xf>
    <xf numFmtId="0" fontId="0" fillId="0" borderId="22" xfId="0" applyFill="1" applyBorder="1" applyAlignment="1">
      <alignment horizontal="left" wrapText="1"/>
    </xf>
    <xf numFmtId="0" fontId="0" fillId="0" borderId="24" xfId="0" applyBorder="1" applyAlignment="1">
      <alignment horizontal="left" wrapText="1"/>
    </xf>
    <xf numFmtId="40" fontId="3" fillId="37" borderId="19" xfId="0" applyNumberFormat="1" applyFont="1" applyFill="1" applyBorder="1" applyAlignment="1">
      <alignment horizontal="left" wrapText="1"/>
    </xf>
    <xf numFmtId="40" fontId="3" fillId="38" borderId="19" xfId="0" applyNumberFormat="1" applyFont="1" applyFill="1" applyBorder="1" applyAlignment="1">
      <alignment horizontal="left" wrapText="1"/>
    </xf>
  </cellXfs>
  <cellStyles count="47"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" xfId="30"/>
    <cellStyle name="Calculation" xfId="31"/>
    <cellStyle name="Check Cell" xfId="32"/>
    <cellStyle name="Comma" xfId="4"/>
    <cellStyle name="Comma [0]" xfId="5"/>
    <cellStyle name="Currency" xfId="2"/>
    <cellStyle name="Currency [0]" xfId="3"/>
    <cellStyle name="Explanatory Text" xfId="33"/>
    <cellStyle name="Good" xfId="34"/>
    <cellStyle name="Heading 1" xfId="35"/>
    <cellStyle name="Heading 2" xfId="36"/>
    <cellStyle name="Heading 3" xfId="37"/>
    <cellStyle name="Heading 4" xfId="38"/>
    <cellStyle name="Input" xfId="39"/>
    <cellStyle name="Linked Cell" xfId="40"/>
    <cellStyle name="Neutral" xfId="41"/>
    <cellStyle name="Normal" xfId="0" builtinId="0"/>
    <cellStyle name="Note" xfId="42"/>
    <cellStyle name="Output" xfId="43"/>
    <cellStyle name="Percent" xfId="1"/>
    <cellStyle name="Title" xfId="44"/>
    <cellStyle name="Total" xfId="45"/>
    <cellStyle name="Warning Text" xfId="46"/>
  </cellStyles>
  <dxfs count="78">
    <dxf>
      <border>
        <left style="thin">
          <color indexed="8"/>
        </left>
        <right/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fill>
        <patternFill patternType="none"/>
      </fill>
      <border>
        <left/>
        <right style="thin">
          <color indexed="8"/>
        </right>
        <top/>
        <bottom/>
      </border>
    </dxf>
    <dxf>
      <numFmt numFmtId="165" formatCode="#,##0.0_);[Red]\(#,##0.0\)"/>
      <fill>
        <patternFill patternType="solid">
          <bgColor theme="0" tint="-0.14993743705557422"/>
        </patternFill>
      </fill>
      <border>
        <left style="thin">
          <color indexed="8"/>
        </left>
        <right style="thick">
          <color indexed="8"/>
        </right>
        <top/>
        <bottom/>
      </border>
    </dxf>
    <dxf>
      <numFmt numFmtId="12" formatCode="&quot;$&quot;#,##0.00_);[Red]\(&quot;$&quot;#,##0.00\)"/>
      <fill>
        <patternFill patternType="solid">
          <bgColor theme="0" tint="-0.14993743705557422"/>
        </patternFill>
      </fill>
      <border>
        <left style="thin">
          <color indexed="8"/>
        </left>
        <right/>
        <top/>
        <bottom/>
      </border>
    </dxf>
    <dxf>
      <numFmt numFmtId="12" formatCode="&quot;$&quot;#,##0.00_);[Red]\(&quot;$&quot;#,##0.00\)"/>
      <fill>
        <patternFill patternType="solid">
          <bgColor theme="0" tint="-0.14993743705557422"/>
        </patternFill>
      </fill>
      <border>
        <left style="thin">
          <color indexed="8"/>
        </left>
        <right/>
        <top/>
        <bottom/>
      </border>
    </dxf>
    <dxf>
      <numFmt numFmtId="12" formatCode="&quot;$&quot;#,##0.00_);[Red]\(&quot;$&quot;#,##0.00\)"/>
      <fill>
        <patternFill patternType="solid">
          <bgColor theme="0" tint="-0.14993743705557422"/>
        </patternFill>
      </fill>
      <border>
        <left style="thin">
          <color indexed="8"/>
        </left>
        <right/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numFmt numFmtId="12" formatCode="&quot;$&quot;#,##0.00_);[Red]\(&quot;$&quot;#,##0.00\)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numFmt numFmtId="20" formatCode="d\-mmm\-yy"/>
      <border>
        <left style="thin">
          <color indexed="8"/>
        </left>
        <right style="thin">
          <color indexed="8"/>
        </right>
        <top/>
        <bottom/>
      </border>
    </dxf>
    <dxf>
      <numFmt numFmtId="164" formatCode="mmmm\ d\,\ yyyy"/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8"/>
        </left>
        <right style="thin">
          <color indexed="8"/>
        </right>
        <top/>
        <bottom/>
      </border>
    </dxf>
    <dxf>
      <border>
        <left/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999999999999999E-2"/>
          <c:y val="1.6250000000000001E-2"/>
          <c:w val="0.97224999999999995"/>
          <c:h val="0.96725000000000005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337760"/>
        <c:axId val="344338152"/>
      </c:barChart>
      <c:catAx>
        <c:axId val="34433776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4338152"/>
        <c:crosses val="autoZero"/>
        <c:auto val="1"/>
        <c:lblAlgn val="ctr"/>
        <c:lblOffset val="100"/>
        <c:noMultiLvlLbl val="0"/>
      </c:catAx>
      <c:valAx>
        <c:axId val="344338152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4337760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9550000000000005"/>
          <c:y val="0.49925000000000003"/>
          <c:w val="0"/>
          <c:h val="1.5E-3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</c:spPr>
      <c:txPr>
        <a:bodyPr rot="0" vert="horz"/>
        <a:lstStyle/>
        <a:p>
          <a:pPr>
            <a:defRPr lang="en-US" sz="84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 rot="0" vert="horz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999999999999999E-2"/>
          <c:y val="1.6250000000000001E-2"/>
          <c:w val="0.97224999999999995"/>
          <c:h val="0.96725000000000005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338936"/>
        <c:axId val="344339328"/>
      </c:barChart>
      <c:catAx>
        <c:axId val="34433893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4339328"/>
        <c:crosses val="autoZero"/>
        <c:auto val="1"/>
        <c:lblAlgn val="ctr"/>
        <c:lblOffset val="100"/>
        <c:noMultiLvlLbl val="0"/>
      </c:catAx>
      <c:valAx>
        <c:axId val="344339328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4338936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9550000000000005"/>
          <c:y val="0.49925000000000003"/>
          <c:w val="0"/>
          <c:h val="1.5E-3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</c:spPr>
      <c:txPr>
        <a:bodyPr rot="0" vert="horz"/>
        <a:lstStyle/>
        <a:p>
          <a:pPr>
            <a:defRPr lang="en-US" sz="84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 rot="0" vert="horz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197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197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Table1" displayName="Table1" ref="A1:BZ2" totalsRowShown="0">
  <autoFilter ref="A1:BZ2"/>
  <tableColumns count="78">
    <tableColumn id="1" name="First Name" dataDxfId="77"/>
    <tableColumn id="2" name="Last Name" dataDxfId="76"/>
    <tableColumn id="3" name="Social Security Number/Employee ID" dataDxfId="75"/>
    <tableColumn id="4" name="Address" dataDxfId="74"/>
    <tableColumn id="5" name="City" dataDxfId="73"/>
    <tableColumn id="6" name="State" dataDxfId="72"/>
    <tableColumn id="7" name="Zip" dataDxfId="71"/>
    <tableColumn id="8" name="Date of Hire" dataDxfId="70"/>
    <tableColumn id="9" name="HR Contact" dataDxfId="69"/>
    <tableColumn id="10" name="HR Contact Number" dataDxfId="68"/>
    <tableColumn id="11" name="Employee Job Title" dataDxfId="67"/>
    <tableColumn id="12" name="Year of Benefits in Spreadsheet" dataDxfId="66"/>
    <tableColumn id="13" name="Medical Benefit Description" dataDxfId="65"/>
    <tableColumn id="14" name="Medical Company Contribution" dataDxfId="64"/>
    <tableColumn id="15" name="Medical Employee Contribution" dataDxfId="63"/>
    <tableColumn id="16" name="Dental Benefit Description" dataDxfId="62"/>
    <tableColumn id="17" name="Dental Company Contribution" dataDxfId="61"/>
    <tableColumn id="18" name="Dental Employee Contribution" dataDxfId="60"/>
    <tableColumn id="19" name="Vision Description" dataDxfId="59"/>
    <tableColumn id="20" name="Vision Company Contribution" dataDxfId="58"/>
    <tableColumn id="21" name="Vision Employee Contribution" dataDxfId="57"/>
    <tableColumn id="22" name="Employer provided Short Term Disability" dataDxfId="56"/>
    <tableColumn id="23" name="EPSTD Company Contribution" dataDxfId="55"/>
    <tableColumn id="24" name="EPSTD Employee Contribution" dataDxfId="54"/>
    <tableColumn id="25" name="Employer provided Long Term Disability" dataDxfId="53"/>
    <tableColumn id="26" name="EPLTD-Company Contribution" dataDxfId="52"/>
    <tableColumn id="27" name="EPLTD-Employee Contribution" dataDxfId="51"/>
    <tableColumn id="28" name="Employer provided Basic Life &amp; AD&amp;D" dataDxfId="50"/>
    <tableColumn id="29" name="EPBL &amp; AD&amp;D-Company Contribution" dataDxfId="49"/>
    <tableColumn id="30" name="EPBL &amp; AD&amp;D- Employee Contribution" dataDxfId="48"/>
    <tableColumn id="31" name="Voluntary/Supplement Life" dataDxfId="47"/>
    <tableColumn id="32" name="VSL-Company Contribution" dataDxfId="46"/>
    <tableColumn id="33" name="VSL-Employee Contribution" dataDxfId="45"/>
    <tableColumn id="34" name="Dependent Life" dataDxfId="44"/>
    <tableColumn id="35" name="Dependent Life-Company Contribution" dataDxfId="43"/>
    <tableColumn id="36" name="Dependent Life- Employee Contribution" dataDxfId="42"/>
    <tableColumn id="37" name="Voluntary Long Term Care" dataDxfId="41"/>
    <tableColumn id="38" name="VLTC-Company Contribution" dataDxfId="40"/>
    <tableColumn id="39" name="VLTC-Employee Contribution" dataDxfId="39"/>
    <tableColumn id="40" name="Health Care Spending Account" dataDxfId="38"/>
    <tableColumn id="41" name="HCSA-Company Contribution" dataDxfId="37"/>
    <tableColumn id="42" name="HCSA-Employee Contribution" dataDxfId="36"/>
    <tableColumn id="43" name="Dependent Care Spending Account" dataDxfId="35"/>
    <tableColumn id="44" name="DCSA- Company Contribution" dataDxfId="34"/>
    <tableColumn id="45" name="DCSA -Employee Contribution" dataDxfId="33"/>
    <tableColumn id="46" name="Commuter Expense Reimbursement Account" dataDxfId="32"/>
    <tableColumn id="47" name="CERA-Company Contribution" dataDxfId="31"/>
    <tableColumn id="48" name="CERA-Employee Contribution" dataDxfId="30"/>
    <tableColumn id="49" name="401(k) Plan" dataDxfId="29"/>
    <tableColumn id="50" name="401(k) -Company Contribution" dataDxfId="28"/>
    <tableColumn id="51" name="401(k) -Employee Contribution" dataDxfId="27"/>
    <tableColumn id="52" name="Profit sharing" dataDxfId="26"/>
    <tableColumn id="53" name="Profit Sharing-Company Contribution" dataDxfId="25"/>
    <tableColumn id="54" name="Profit Sharing-Employee Contribution" dataDxfId="24"/>
    <tableColumn id="55" name="Employee Stock Purchase Plan" dataDxfId="23"/>
    <tableColumn id="56" name="Employee Stock-Company Contribution" dataDxfId="22"/>
    <tableColumn id="57" name="Employee Stock-Employee Contribution" dataDxfId="21"/>
    <tableColumn id="58" name="Annual Base Salary" dataDxfId="20"/>
    <tableColumn id="59" name="Company Total Benefits Cost" dataDxfId="19"/>
    <tableColumn id="60" name="Employee Total Benefits Cost" dataDxfId="18"/>
    <tableColumn id="61" name="TOTAL COMPENSATION" dataDxfId="17"/>
    <tableColumn id="62" name="Benefits as Percent of Total Compensation" dataDxfId="16"/>
    <tableColumn id="63" name="Miscellaneous Benefits" dataDxfId="15"/>
    <tableColumn id="64" name="401(k) and Profit Sharing" dataDxfId="14"/>
    <tableColumn id="65" name="Bereavement Pay" dataDxfId="13"/>
    <tableColumn id="66" name="Credit union membership" dataDxfId="12"/>
    <tableColumn id="67" name="Direct deposit" dataDxfId="11"/>
    <tableColumn id="68" name="Employee Assistance Program" dataDxfId="10"/>
    <tableColumn id="69" name="Holidays" dataDxfId="9"/>
    <tableColumn id="70" name="Jury Duty Pay" dataDxfId="8"/>
    <tableColumn id="71" name="Onsite child care" dataDxfId="7"/>
    <tableColumn id="72" name="Severance" dataDxfId="6"/>
    <tableColumn id="73" name="Sick days" dataDxfId="5"/>
    <tableColumn id="74" name="Tuition Reimbursement" dataDxfId="4"/>
    <tableColumn id="75" name="Uniform Expense" dataDxfId="3"/>
    <tableColumn id="76" name="Vacation" dataDxfId="2"/>
    <tableColumn id="77" name="Voting leave" dataDxfId="1"/>
    <tableColumn id="78" name="Wellness program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6"/>
  <sheetViews>
    <sheetView tabSelected="1" topLeftCell="G1" zoomScale="75" zoomScaleNormal="75" workbookViewId="0">
      <selection activeCell="E23" sqref="E23"/>
    </sheetView>
  </sheetViews>
  <sheetFormatPr defaultRowHeight="12.75" x14ac:dyDescent="0.2"/>
  <cols>
    <col min="1" max="1" width="27.28515625" style="5" bestFit="1" customWidth="1"/>
    <col min="2" max="2" width="27.28515625" style="5" customWidth="1"/>
    <col min="3" max="3" width="41.5703125" style="7" customWidth="1"/>
    <col min="4" max="7" width="27.28515625" style="5" customWidth="1"/>
    <col min="8" max="8" width="27.28515625" style="6" customWidth="1"/>
    <col min="9" max="9" width="27.28515625" style="5" customWidth="1"/>
    <col min="10" max="10" width="27.28515625" style="7" customWidth="1"/>
    <col min="11" max="11" width="27.28515625" style="5" customWidth="1"/>
    <col min="12" max="12" width="37" style="5" customWidth="1"/>
    <col min="13" max="13" width="32.42578125" style="5" customWidth="1"/>
    <col min="14" max="14" width="35.42578125" style="14" customWidth="1"/>
    <col min="15" max="15" width="35.85546875" style="14" customWidth="1"/>
    <col min="16" max="16" width="31" style="5" customWidth="1"/>
    <col min="17" max="17" width="34.140625" style="14" customWidth="1"/>
    <col min="18" max="18" width="34.42578125" style="14" customWidth="1"/>
    <col min="19" max="19" width="22.42578125" style="5" customWidth="1"/>
    <col min="20" max="20" width="33.7109375" style="14" customWidth="1"/>
    <col min="21" max="21" width="34.140625" style="14" customWidth="1"/>
    <col min="22" max="22" width="44.7109375" style="5" customWidth="1"/>
    <col min="23" max="23" width="34.42578125" style="14" customWidth="1"/>
    <col min="24" max="24" width="34.85546875" style="14" customWidth="1"/>
    <col min="25" max="25" width="44.42578125" style="5" customWidth="1"/>
    <col min="26" max="26" width="34.85546875" style="14" customWidth="1"/>
    <col min="27" max="27" width="35.28515625" style="14" customWidth="1"/>
    <col min="28" max="28" width="42.42578125" style="5" customWidth="1"/>
    <col min="29" max="29" width="42.28515625" style="14" customWidth="1"/>
    <col min="30" max="30" width="43.28515625" style="14" customWidth="1"/>
    <col min="31" max="31" width="31.42578125" style="5" customWidth="1"/>
    <col min="32" max="32" width="32.140625" style="14" customWidth="1"/>
    <col min="33" max="33" width="32.5703125" style="14" customWidth="1"/>
    <col min="34" max="34" width="19.5703125" style="5" customWidth="1"/>
    <col min="35" max="35" width="44" style="14" customWidth="1"/>
    <col min="36" max="36" width="45" style="14" customWidth="1"/>
    <col min="37" max="37" width="30.7109375" style="5" customWidth="1"/>
    <col min="38" max="38" width="33.5703125" style="14" customWidth="1"/>
    <col min="39" max="39" width="33.85546875" style="14" customWidth="1"/>
    <col min="40" max="40" width="36" style="5" customWidth="1"/>
    <col min="41" max="41" width="33.85546875" style="14" customWidth="1"/>
    <col min="42" max="42" width="34.28515625" style="14" customWidth="1"/>
    <col min="43" max="43" width="40.7109375" style="5" customWidth="1"/>
    <col min="44" max="44" width="34.42578125" style="14" customWidth="1"/>
    <col min="45" max="45" width="34.85546875" style="14" customWidth="1"/>
    <col min="46" max="46" width="49.7109375" style="5" customWidth="1"/>
    <col min="47" max="47" width="33.7109375" style="14" customWidth="1"/>
    <col min="48" max="48" width="34.140625" style="14" customWidth="1"/>
    <col min="49" max="49" width="23.7109375" style="5" customWidth="1"/>
    <col min="50" max="50" width="34.7109375" style="14" customWidth="1"/>
    <col min="51" max="51" width="35" style="14" customWidth="1"/>
    <col min="52" max="52" width="18.85546875" style="5" customWidth="1"/>
    <col min="53" max="53" width="42.28515625" style="14" customWidth="1"/>
    <col min="54" max="54" width="42.7109375" style="14" customWidth="1"/>
    <col min="55" max="55" width="36.140625" style="5" customWidth="1"/>
    <col min="56" max="56" width="44.5703125" style="14" customWidth="1"/>
    <col min="57" max="57" width="45" style="14" customWidth="1"/>
    <col min="58" max="58" width="24" style="14" customWidth="1"/>
    <col min="59" max="59" width="33.7109375" style="17" customWidth="1"/>
    <col min="60" max="60" width="33.5703125" style="17" customWidth="1"/>
    <col min="61" max="61" width="28.7109375" style="17" customWidth="1"/>
    <col min="62" max="62" width="48.42578125" style="18" customWidth="1"/>
    <col min="63" max="63" width="27.85546875" style="10" customWidth="1"/>
    <col min="64" max="64" width="48.42578125" style="5" customWidth="1"/>
    <col min="65" max="65" width="42.140625" style="5" customWidth="1"/>
    <col min="66" max="66" width="29.28515625" style="5" customWidth="1"/>
    <col min="67" max="67" width="23.28515625" style="5" customWidth="1"/>
    <col min="68" max="68" width="35" style="5" customWidth="1"/>
    <col min="69" max="69" width="40.85546875" style="5" customWidth="1"/>
    <col min="70" max="70" width="29.85546875" style="5" customWidth="1"/>
    <col min="71" max="71" width="21.28515625" style="5" customWidth="1"/>
    <col min="72" max="72" width="18.85546875" style="5" customWidth="1"/>
    <col min="73" max="73" width="49.42578125" style="5" customWidth="1"/>
    <col min="74" max="74" width="39.5703125" style="5" customWidth="1"/>
    <col min="75" max="75" width="23" style="5" customWidth="1"/>
    <col min="76" max="76" width="47.7109375" style="5" customWidth="1"/>
    <col min="77" max="77" width="41.140625" style="5" customWidth="1"/>
    <col min="78" max="78" width="26.7109375" style="5" customWidth="1"/>
    <col min="79" max="16384" width="9.140625" style="1"/>
  </cols>
  <sheetData>
    <row r="1" spans="1:78" ht="64.5" customHeight="1" thickBot="1" x14ac:dyDescent="0.25">
      <c r="A1" s="19" t="s">
        <v>101</v>
      </c>
      <c r="B1" s="20" t="s">
        <v>102</v>
      </c>
      <c r="C1" s="21" t="s">
        <v>109</v>
      </c>
      <c r="D1" s="20" t="s">
        <v>37</v>
      </c>
      <c r="E1" s="20" t="s">
        <v>100</v>
      </c>
      <c r="F1" s="20" t="s">
        <v>96</v>
      </c>
      <c r="G1" s="20" t="s">
        <v>97</v>
      </c>
      <c r="H1" s="22" t="s">
        <v>38</v>
      </c>
      <c r="I1" s="20" t="s">
        <v>39</v>
      </c>
      <c r="J1" s="21" t="s">
        <v>40</v>
      </c>
      <c r="K1" s="20" t="s">
        <v>107</v>
      </c>
      <c r="L1" s="20" t="s">
        <v>105</v>
      </c>
      <c r="M1" s="23" t="s">
        <v>0</v>
      </c>
      <c r="N1" s="40" t="s">
        <v>14</v>
      </c>
      <c r="O1" s="41" t="s">
        <v>71</v>
      </c>
      <c r="P1" s="23" t="s">
        <v>1</v>
      </c>
      <c r="Q1" s="40" t="s">
        <v>15</v>
      </c>
      <c r="R1" s="41" t="s">
        <v>76</v>
      </c>
      <c r="S1" s="23" t="s">
        <v>16</v>
      </c>
      <c r="T1" s="40" t="s">
        <v>17</v>
      </c>
      <c r="U1" s="41" t="s">
        <v>77</v>
      </c>
      <c r="V1" s="23" t="s">
        <v>2</v>
      </c>
      <c r="W1" s="40" t="s">
        <v>18</v>
      </c>
      <c r="X1" s="41" t="s">
        <v>78</v>
      </c>
      <c r="Y1" s="23" t="s">
        <v>3</v>
      </c>
      <c r="Z1" s="40" t="s">
        <v>89</v>
      </c>
      <c r="AA1" s="41" t="s">
        <v>79</v>
      </c>
      <c r="AB1" s="23" t="s">
        <v>4</v>
      </c>
      <c r="AC1" s="40" t="s">
        <v>80</v>
      </c>
      <c r="AD1" s="41" t="s">
        <v>81</v>
      </c>
      <c r="AE1" s="23" t="s">
        <v>5</v>
      </c>
      <c r="AF1" s="40" t="s">
        <v>91</v>
      </c>
      <c r="AG1" s="41" t="s">
        <v>90</v>
      </c>
      <c r="AH1" s="23" t="s">
        <v>6</v>
      </c>
      <c r="AI1" s="40" t="s">
        <v>72</v>
      </c>
      <c r="AJ1" s="41" t="s">
        <v>82</v>
      </c>
      <c r="AK1" s="23" t="s">
        <v>7</v>
      </c>
      <c r="AL1" s="40" t="s">
        <v>73</v>
      </c>
      <c r="AM1" s="41" t="s">
        <v>83</v>
      </c>
      <c r="AN1" s="23" t="s">
        <v>8</v>
      </c>
      <c r="AO1" s="40" t="s">
        <v>74</v>
      </c>
      <c r="AP1" s="41" t="s">
        <v>84</v>
      </c>
      <c r="AQ1" s="23" t="s">
        <v>9</v>
      </c>
      <c r="AR1" s="40" t="s">
        <v>20</v>
      </c>
      <c r="AS1" s="41" t="s">
        <v>85</v>
      </c>
      <c r="AT1" s="23" t="s">
        <v>10</v>
      </c>
      <c r="AU1" s="40" t="s">
        <v>93</v>
      </c>
      <c r="AV1" s="41" t="s">
        <v>92</v>
      </c>
      <c r="AW1" s="23" t="s">
        <v>11</v>
      </c>
      <c r="AX1" s="40" t="s">
        <v>19</v>
      </c>
      <c r="AY1" s="41" t="s">
        <v>70</v>
      </c>
      <c r="AZ1" s="23" t="s">
        <v>12</v>
      </c>
      <c r="BA1" s="40" t="s">
        <v>86</v>
      </c>
      <c r="BB1" s="41" t="s">
        <v>87</v>
      </c>
      <c r="BC1" s="23" t="s">
        <v>41</v>
      </c>
      <c r="BD1" s="40" t="s">
        <v>75</v>
      </c>
      <c r="BE1" s="41" t="s">
        <v>88</v>
      </c>
      <c r="BF1" s="24" t="s">
        <v>13</v>
      </c>
      <c r="BG1" s="25" t="s">
        <v>112</v>
      </c>
      <c r="BH1" s="25" t="s">
        <v>113</v>
      </c>
      <c r="BI1" s="25" t="s">
        <v>110</v>
      </c>
      <c r="BJ1" s="26" t="s">
        <v>111</v>
      </c>
      <c r="BK1" s="27" t="s">
        <v>21</v>
      </c>
      <c r="BL1" s="28" t="s">
        <v>22</v>
      </c>
      <c r="BM1" s="28" t="s">
        <v>36</v>
      </c>
      <c r="BN1" s="28" t="s">
        <v>23</v>
      </c>
      <c r="BO1" s="28" t="s">
        <v>24</v>
      </c>
      <c r="BP1" s="28" t="s">
        <v>25</v>
      </c>
      <c r="BQ1" s="28" t="s">
        <v>26</v>
      </c>
      <c r="BR1" s="28" t="s">
        <v>34</v>
      </c>
      <c r="BS1" s="28" t="s">
        <v>27</v>
      </c>
      <c r="BT1" s="28" t="s">
        <v>28</v>
      </c>
      <c r="BU1" s="28" t="s">
        <v>29</v>
      </c>
      <c r="BV1" s="28" t="s">
        <v>30</v>
      </c>
      <c r="BW1" s="28" t="s">
        <v>31</v>
      </c>
      <c r="BX1" s="28" t="s">
        <v>35</v>
      </c>
      <c r="BY1" s="28" t="s">
        <v>32</v>
      </c>
      <c r="BZ1" s="29" t="s">
        <v>33</v>
      </c>
    </row>
    <row r="2" spans="1:78" ht="102.75" thickTop="1" x14ac:dyDescent="0.2">
      <c r="A2" s="30" t="s">
        <v>104</v>
      </c>
      <c r="B2" s="31" t="s">
        <v>103</v>
      </c>
      <c r="C2" s="32" t="s">
        <v>94</v>
      </c>
      <c r="D2" s="31" t="s">
        <v>115</v>
      </c>
      <c r="E2" s="31" t="s">
        <v>114</v>
      </c>
      <c r="F2" s="31" t="s">
        <v>98</v>
      </c>
      <c r="G2" s="31">
        <v>53706</v>
      </c>
      <c r="H2" s="33">
        <v>37257</v>
      </c>
      <c r="I2" s="34" t="s">
        <v>42</v>
      </c>
      <c r="J2" s="32" t="s">
        <v>108</v>
      </c>
      <c r="K2" s="31" t="s">
        <v>106</v>
      </c>
      <c r="L2" s="31">
        <v>2014</v>
      </c>
      <c r="M2" s="31" t="s">
        <v>45</v>
      </c>
      <c r="N2" s="35">
        <v>4684.42</v>
      </c>
      <c r="O2" s="35">
        <v>783.9</v>
      </c>
      <c r="P2" s="31" t="s">
        <v>43</v>
      </c>
      <c r="Q2" s="35">
        <v>360.88</v>
      </c>
      <c r="R2" s="35">
        <v>226.2</v>
      </c>
      <c r="S2" s="31" t="s">
        <v>46</v>
      </c>
      <c r="T2" s="35">
        <v>0</v>
      </c>
      <c r="U2" s="35">
        <v>25</v>
      </c>
      <c r="V2" s="31" t="s">
        <v>47</v>
      </c>
      <c r="W2" s="35">
        <v>125.1</v>
      </c>
      <c r="X2" s="35">
        <v>0</v>
      </c>
      <c r="Y2" s="31" t="s">
        <v>61</v>
      </c>
      <c r="Z2" s="35">
        <v>210.2</v>
      </c>
      <c r="AA2" s="35">
        <v>0</v>
      </c>
      <c r="AB2" s="31" t="s">
        <v>48</v>
      </c>
      <c r="AC2" s="35">
        <v>174.1</v>
      </c>
      <c r="AD2" s="35">
        <v>0</v>
      </c>
      <c r="AE2" s="31" t="s">
        <v>49</v>
      </c>
      <c r="AF2" s="35">
        <v>0</v>
      </c>
      <c r="AG2" s="35">
        <v>0</v>
      </c>
      <c r="AH2" s="31" t="s">
        <v>50</v>
      </c>
      <c r="AI2" s="35">
        <v>0</v>
      </c>
      <c r="AJ2" s="35">
        <v>0</v>
      </c>
      <c r="AK2" s="31" t="s">
        <v>51</v>
      </c>
      <c r="AL2" s="35">
        <v>0</v>
      </c>
      <c r="AM2" s="35">
        <v>0</v>
      </c>
      <c r="AN2" s="31" t="s">
        <v>99</v>
      </c>
      <c r="AO2" s="35">
        <v>0</v>
      </c>
      <c r="AP2" s="35">
        <v>364</v>
      </c>
      <c r="AQ2" s="31" t="s">
        <v>44</v>
      </c>
      <c r="AR2" s="35">
        <v>0</v>
      </c>
      <c r="AS2" s="35">
        <v>5000</v>
      </c>
      <c r="AT2" s="31" t="s">
        <v>44</v>
      </c>
      <c r="AU2" s="35">
        <v>0</v>
      </c>
      <c r="AV2" s="35">
        <v>800</v>
      </c>
      <c r="AW2" s="31" t="s">
        <v>95</v>
      </c>
      <c r="AX2" s="35">
        <v>1302.48</v>
      </c>
      <c r="AY2" s="35">
        <v>2604.96</v>
      </c>
      <c r="AZ2" s="31" t="s">
        <v>62</v>
      </c>
      <c r="BA2" s="35">
        <v>0</v>
      </c>
      <c r="BB2" s="35">
        <v>650.54</v>
      </c>
      <c r="BC2" s="31" t="s">
        <v>52</v>
      </c>
      <c r="BD2" s="35">
        <v>0</v>
      </c>
      <c r="BE2" s="35">
        <v>650.54</v>
      </c>
      <c r="BF2" s="35">
        <v>32562</v>
      </c>
      <c r="BG2" s="36">
        <f>SUM(N2,Q2,T2,W2,Z2,AC2,AF2,AI2,AL2,AO2,AR2,AU2,AX2,BA2,BD2)</f>
        <v>6857.18</v>
      </c>
      <c r="BH2" s="36">
        <f>SUM(O2,R2,U2,X2,AA2,AD2,AG2,AJ2,AM2,AP2,AS2,AV2,AY2,BB2,BE2)</f>
        <v>11105.140000000003</v>
      </c>
      <c r="BI2" s="36">
        <f>SUM(BG2,BF2)</f>
        <v>39419.18</v>
      </c>
      <c r="BJ2" s="37">
        <f>BG2/BI2*100</f>
        <v>17.395541967133767</v>
      </c>
      <c r="BK2" s="38"/>
      <c r="BL2" s="31" t="s">
        <v>53</v>
      </c>
      <c r="BM2" s="31" t="s">
        <v>54</v>
      </c>
      <c r="BN2" s="31" t="s">
        <v>55</v>
      </c>
      <c r="BO2" s="31" t="s">
        <v>68</v>
      </c>
      <c r="BP2" s="31" t="s">
        <v>63</v>
      </c>
      <c r="BQ2" s="31" t="s">
        <v>56</v>
      </c>
      <c r="BR2" s="31" t="s">
        <v>57</v>
      </c>
      <c r="BS2" s="31" t="s">
        <v>65</v>
      </c>
      <c r="BT2" s="31" t="s">
        <v>58</v>
      </c>
      <c r="BU2" s="31" t="s">
        <v>67</v>
      </c>
      <c r="BV2" s="31" t="s">
        <v>69</v>
      </c>
      <c r="BW2" s="31" t="s">
        <v>59</v>
      </c>
      <c r="BX2" s="31" t="s">
        <v>66</v>
      </c>
      <c r="BY2" s="31" t="s">
        <v>60</v>
      </c>
      <c r="BZ2" s="39" t="s">
        <v>64</v>
      </c>
    </row>
    <row r="3" spans="1:78" x14ac:dyDescent="0.2">
      <c r="I3" s="3"/>
      <c r="J3" s="11"/>
      <c r="L3" s="2"/>
      <c r="M3" s="2"/>
      <c r="N3" s="13"/>
      <c r="O3" s="13"/>
      <c r="P3" s="2"/>
      <c r="Q3" s="13"/>
      <c r="R3" s="13"/>
      <c r="S3" s="2"/>
      <c r="T3" s="13"/>
      <c r="U3" s="13"/>
      <c r="V3" s="2"/>
      <c r="W3" s="13"/>
      <c r="X3" s="13"/>
      <c r="Y3" s="2"/>
      <c r="Z3" s="13"/>
      <c r="AA3" s="13"/>
      <c r="AB3" s="2"/>
      <c r="AC3" s="13"/>
      <c r="AD3" s="13"/>
      <c r="AE3" s="2"/>
      <c r="AF3" s="13"/>
      <c r="AG3" s="13"/>
      <c r="AH3" s="2"/>
      <c r="AI3" s="13"/>
      <c r="AJ3" s="13"/>
      <c r="AK3" s="2"/>
      <c r="AL3" s="13"/>
      <c r="AM3" s="13"/>
      <c r="AN3" s="2"/>
      <c r="AO3" s="13"/>
      <c r="AP3" s="13"/>
      <c r="AQ3" s="2"/>
      <c r="AR3" s="13"/>
      <c r="AS3" s="13"/>
      <c r="AT3" s="2"/>
      <c r="AU3" s="13"/>
      <c r="AV3" s="13"/>
      <c r="AW3" s="2"/>
      <c r="AX3" s="13"/>
      <c r="AY3" s="13"/>
      <c r="AZ3" s="2"/>
      <c r="BA3" s="13"/>
      <c r="BB3" s="13"/>
      <c r="BC3" s="2"/>
      <c r="BD3" s="13"/>
      <c r="BE3" s="13"/>
      <c r="BF3" s="13"/>
      <c r="BG3" s="15"/>
      <c r="BH3" s="15"/>
      <c r="BI3" s="15"/>
      <c r="BJ3" s="16"/>
      <c r="BK3" s="4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">
      <c r="J4" s="11"/>
      <c r="M4" s="2"/>
      <c r="N4" s="13"/>
      <c r="O4" s="13"/>
      <c r="P4" s="2"/>
      <c r="Q4" s="13"/>
      <c r="R4" s="13"/>
      <c r="S4" s="2"/>
      <c r="T4" s="13"/>
      <c r="U4" s="13"/>
      <c r="V4" s="2"/>
      <c r="W4" s="13"/>
      <c r="X4" s="13"/>
      <c r="Y4" s="2"/>
      <c r="Z4" s="13"/>
      <c r="AA4" s="13"/>
      <c r="AB4" s="2"/>
      <c r="AC4" s="13"/>
      <c r="AD4" s="13"/>
      <c r="AE4" s="2"/>
      <c r="AF4" s="13"/>
      <c r="AG4" s="13"/>
      <c r="AH4" s="2"/>
      <c r="AI4" s="13"/>
      <c r="AJ4" s="13"/>
      <c r="AK4" s="2"/>
      <c r="AL4" s="13"/>
      <c r="AM4" s="13"/>
      <c r="AN4" s="2"/>
      <c r="AO4" s="13"/>
      <c r="AP4" s="13"/>
      <c r="AQ4" s="2"/>
      <c r="AR4" s="13"/>
      <c r="AS4" s="13"/>
      <c r="AT4" s="2"/>
      <c r="AU4" s="13"/>
      <c r="AV4" s="13"/>
      <c r="AW4" s="2"/>
      <c r="AX4" s="13"/>
      <c r="AY4" s="13"/>
      <c r="AZ4" s="2"/>
      <c r="BA4" s="13"/>
      <c r="BB4" s="13"/>
      <c r="BC4" s="2"/>
      <c r="BD4" s="13"/>
      <c r="BE4" s="13"/>
      <c r="BF4" s="13"/>
      <c r="BG4" s="15"/>
      <c r="BH4" s="15"/>
      <c r="BI4" s="15"/>
      <c r="BJ4" s="16"/>
      <c r="BK4" s="4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">
      <c r="A5" s="7"/>
      <c r="B5" s="7"/>
      <c r="D5" s="7"/>
      <c r="E5" s="7"/>
      <c r="F5" s="7"/>
      <c r="G5" s="7"/>
      <c r="I5" s="7"/>
      <c r="K5" s="7"/>
      <c r="L5" s="7"/>
      <c r="M5" s="2"/>
      <c r="N5" s="13"/>
      <c r="O5" s="13"/>
      <c r="P5" s="2"/>
      <c r="Q5" s="13"/>
      <c r="R5" s="13"/>
      <c r="S5" s="2"/>
      <c r="T5" s="13"/>
      <c r="U5" s="13"/>
      <c r="V5" s="2"/>
      <c r="W5" s="13"/>
      <c r="X5" s="13"/>
      <c r="Y5" s="2"/>
      <c r="Z5" s="13"/>
      <c r="AA5" s="13"/>
      <c r="AB5" s="2"/>
      <c r="AC5" s="13"/>
      <c r="AD5" s="13"/>
      <c r="AE5" s="2"/>
      <c r="AF5" s="13"/>
      <c r="AG5" s="13"/>
      <c r="AH5" s="2"/>
      <c r="AI5" s="13"/>
      <c r="AJ5" s="13"/>
      <c r="AK5" s="2"/>
      <c r="AL5" s="13"/>
      <c r="AM5" s="13"/>
      <c r="AN5" s="2"/>
      <c r="AO5" s="13"/>
      <c r="AP5" s="13"/>
      <c r="AQ5" s="2"/>
      <c r="AR5" s="13"/>
      <c r="AS5" s="13"/>
      <c r="AT5" s="2"/>
      <c r="AU5" s="13"/>
      <c r="AV5" s="13"/>
      <c r="AW5" s="2"/>
      <c r="AX5" s="13"/>
      <c r="AY5" s="13"/>
      <c r="AZ5" s="2"/>
      <c r="BA5" s="13"/>
      <c r="BB5" s="13"/>
      <c r="BC5" s="2"/>
      <c r="BD5" s="13"/>
      <c r="BE5" s="13"/>
      <c r="BF5" s="13"/>
      <c r="BG5" s="15"/>
      <c r="BH5" s="15"/>
      <c r="BI5" s="15"/>
      <c r="BJ5" s="16"/>
      <c r="BK5" s="4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26" spans="1:12" x14ac:dyDescent="0.2">
      <c r="A26" s="8"/>
      <c r="B26" s="8"/>
      <c r="C26" s="12"/>
      <c r="D26" s="8"/>
      <c r="E26" s="8"/>
      <c r="F26" s="8"/>
      <c r="G26" s="8"/>
      <c r="H26" s="9"/>
      <c r="I26" s="8"/>
      <c r="J26" s="12"/>
      <c r="K26" s="8"/>
      <c r="L26" s="8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Benefit Data Sheet</vt:lpstr>
      <vt:lpstr>Chart9</vt:lpstr>
      <vt:lpstr>Chart8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Benefits Statement Data Sheet for Office XP/2003 Users</dc:title>
  <dc:subject/>
  <dc:creator>Zywave, Inc.</dc:creator>
  <cp:keywords/>
  <dc:description/>
  <cp:lastModifiedBy>Paul Navratil</cp:lastModifiedBy>
  <dcterms:created xsi:type="dcterms:W3CDTF">2002-06-20T16:32:24Z</dcterms:created>
  <dcterms:modified xsi:type="dcterms:W3CDTF">2018-09-26T17:37:34Z</dcterms:modified>
  <cp:category/>
</cp:coreProperties>
</file>