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019\5 - EXPENSES\"/>
    </mc:Choice>
  </mc:AlternateContent>
  <xr:revisionPtr revIDLastSave="0" documentId="8_{9E1E8154-B888-4274-9F9B-DDF7189B6701}" xr6:coauthVersionLast="45" xr6:coauthVersionMax="45" xr10:uidLastSave="{00000000-0000-0000-0000-000000000000}"/>
  <bookViews>
    <workbookView xWindow="28680" yWindow="-120" windowWidth="29040" windowHeight="16440" firstSheet="39" activeTab="46" xr2:uid="{6007767E-883F-49FA-9EE6-049FA6A5BDCE}"/>
  </bookViews>
  <sheets>
    <sheet name="01-10-2019" sheetId="1" r:id="rId1"/>
    <sheet name="01-17-2019 BONUS" sheetId="3" r:id="rId2"/>
    <sheet name="01-24-19" sheetId="4" r:id="rId3"/>
    <sheet name="01-24-2019 BONUS" sheetId="5" r:id="rId4"/>
    <sheet name="02-07-19" sheetId="6" r:id="rId5"/>
    <sheet name="02-22-19" sheetId="7" r:id="rId6"/>
    <sheet name="02-14-2019 BONUS" sheetId="8" r:id="rId7"/>
    <sheet name="02-28-2019 BONUS" sheetId="9" r:id="rId8"/>
    <sheet name="03-07-2019" sheetId="10" r:id="rId9"/>
    <sheet name="03-15-2019 BONUS" sheetId="13" r:id="rId10"/>
    <sheet name="03-22-2019" sheetId="11" r:id="rId11"/>
    <sheet name="02-28-2019 COMMISSION" sheetId="12" r:id="rId12"/>
    <sheet name="04-04-2019" sheetId="14" r:id="rId13"/>
    <sheet name="04-18-2019" sheetId="15" r:id="rId14"/>
    <sheet name="03-31-2019 COMMISSION" sheetId="16" r:id="rId15"/>
    <sheet name="03-31-2019 COMMISSION (2)" sheetId="17" r:id="rId16"/>
    <sheet name="05-02-2019" sheetId="18" r:id="rId17"/>
    <sheet name="04 30 2019 BONUS &amp; COMMISSION" sheetId="19" r:id="rId18"/>
    <sheet name="05-15-2019" sheetId="20" r:id="rId19"/>
    <sheet name="05-17-2019" sheetId="21" r:id="rId20"/>
    <sheet name="05-31-2019" sheetId="22" r:id="rId21"/>
    <sheet name="06-13-2019" sheetId="23" r:id="rId22"/>
    <sheet name="06-28-2019" sheetId="25" r:id="rId23"/>
    <sheet name="07-01-2019" sheetId="24" r:id="rId24"/>
    <sheet name="07-12-19" sheetId="26" r:id="rId25"/>
    <sheet name="07-22-2019" sheetId="27" r:id="rId26"/>
    <sheet name="07-25-2019" sheetId="28" r:id="rId27"/>
    <sheet name="07-29-2019" sheetId="29" r:id="rId28"/>
    <sheet name="08-08-2019" sheetId="30" r:id="rId29"/>
    <sheet name="08-22-2019" sheetId="31" r:id="rId30"/>
    <sheet name="08-26-2019" sheetId="32" r:id="rId31"/>
    <sheet name="09-06-2019" sheetId="33" r:id="rId32"/>
    <sheet name="09-12-2019" sheetId="34" r:id="rId33"/>
    <sheet name="09-19-2019" sheetId="35" r:id="rId34"/>
    <sheet name="10-03-2019" sheetId="36" r:id="rId35"/>
    <sheet name="10-16-2019" sheetId="37" r:id="rId36"/>
    <sheet name="10-17-2019" sheetId="38" r:id="rId37"/>
    <sheet name="10-22-2019" sheetId="39" r:id="rId38"/>
    <sheet name="10-31-2019" sheetId="40" r:id="rId39"/>
    <sheet name="11-14-2019" sheetId="41" r:id="rId40"/>
    <sheet name="11-12-2019" sheetId="42" r:id="rId41"/>
    <sheet name="11-27-2019" sheetId="43" r:id="rId42"/>
    <sheet name="12-10-2019" sheetId="44" r:id="rId43"/>
    <sheet name="12-12-2019" sheetId="45" r:id="rId44"/>
    <sheet name="12-10-2019 ADJ" sheetId="46" r:id="rId45"/>
    <sheet name="12-13-19 PR ADJUSTMENT ACH" sheetId="47" r:id="rId46"/>
    <sheet name="12-27-2019" sheetId="48" r:id="rId47"/>
    <sheet name="JE" sheetId="2" r:id="rId48"/>
  </sheets>
  <externalReferences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_xlnm.Print_Area" localSheetId="0">'01-10-2019'!$A$1:$S$92</definedName>
    <definedName name="_xlnm.Print_Area" localSheetId="1">'01-17-2019 BONUS'!$A$1:$X$85</definedName>
    <definedName name="_xlnm.Print_Area" localSheetId="2">'01-24-19'!$A$1:$S$92</definedName>
    <definedName name="_xlnm.Print_Area" localSheetId="3">'01-24-2019 BONUS'!$A$1:$X$86</definedName>
    <definedName name="_xlnm.Print_Area" localSheetId="4">'02-07-19'!$A$1:$S$92</definedName>
    <definedName name="_xlnm.Print_Area" localSheetId="6">'02-14-2019 BONUS'!$A$1:$X$86</definedName>
    <definedName name="_xlnm.Print_Area" localSheetId="5">'02-22-19'!$A$1:$S$92</definedName>
    <definedName name="_xlnm.Print_Area" localSheetId="7">'02-28-2019 BONUS'!$A$1:$X$86</definedName>
    <definedName name="_xlnm.Print_Area" localSheetId="11">'02-28-2019 COMMISSION'!$A$1:$X$86</definedName>
    <definedName name="_xlnm.Print_Area" localSheetId="8">'03-07-2019'!$A$1:$S$92</definedName>
    <definedName name="_xlnm.Print_Area" localSheetId="9">'03-15-2019 BONUS'!$A$1:$X$86</definedName>
    <definedName name="_xlnm.Print_Area" localSheetId="10">'03-22-2019'!$A$1:$S$92</definedName>
    <definedName name="_xlnm.Print_Area" localSheetId="14">'03-31-2019 COMMISSION'!$A$1:$X$86</definedName>
    <definedName name="_xlnm.Print_Area" localSheetId="15">'03-31-2019 COMMISSION (2)'!$A$1:$X$86</definedName>
    <definedName name="_xlnm.Print_Area" localSheetId="17">'04 30 2019 BONUS &amp; COMMISSION'!$A$1:$X$86</definedName>
    <definedName name="_xlnm.Print_Area" localSheetId="12">'04-04-2019'!$A$1:$S$92</definedName>
    <definedName name="_xlnm.Print_Area" localSheetId="13">'04-18-2019'!$A$1:$S$92</definedName>
    <definedName name="_xlnm.Print_Area" localSheetId="16">'05-02-2019'!$A$1:$S$92</definedName>
    <definedName name="_xlnm.Print_Area" localSheetId="18">'05-15-2019'!$A$1:$X$86</definedName>
    <definedName name="_xlnm.Print_Area" localSheetId="19">'05-17-2019'!$A$1:$S$92</definedName>
    <definedName name="_xlnm.Print_Area" localSheetId="20">'05-31-2019'!$A$1:$S$92</definedName>
    <definedName name="_xlnm.Print_Area" localSheetId="21">'06-13-2019'!$A$1:$S$92</definedName>
    <definedName name="_xlnm.Print_Area" localSheetId="22">'06-28-2019'!$A$1:$S$92</definedName>
    <definedName name="_xlnm.Print_Area" localSheetId="23">'07-01-2019'!$A$1:$X$86</definedName>
    <definedName name="_xlnm.Print_Area" localSheetId="24">'07-12-19'!$A$1:$S$92</definedName>
    <definedName name="_xlnm.Print_Area" localSheetId="25">'07-22-2019'!$A$1:$X$86</definedName>
    <definedName name="_xlnm.Print_Area" localSheetId="26">'07-25-2019'!$A$1:$S$92</definedName>
    <definedName name="_xlnm.Print_Area" localSheetId="27">'07-29-2019'!$A$1:$X$86</definedName>
    <definedName name="_xlnm.Print_Area" localSheetId="28">'08-08-2019'!$A$1:$S$92</definedName>
    <definedName name="_xlnm.Print_Area" localSheetId="29">'08-22-2019'!$A$1:$S$92</definedName>
    <definedName name="_xlnm.Print_Area" localSheetId="30">'08-26-2019'!$A$1:$S$92</definedName>
    <definedName name="_xlnm.Print_Area" localSheetId="31">'09-06-2019'!$A$1:$S$92</definedName>
    <definedName name="_xlnm.Print_Area" localSheetId="32">'09-12-2019'!$A$1:$X$86</definedName>
    <definedName name="_xlnm.Print_Area" localSheetId="33">'09-19-2019'!$A$1:$S$92</definedName>
    <definedName name="_xlnm.Print_Area" localSheetId="34">'10-03-2019'!$A$1:$S$92</definedName>
    <definedName name="_xlnm.Print_Area" localSheetId="35">'10-16-2019'!$A$1:$X$86</definedName>
    <definedName name="_xlnm.Print_Area" localSheetId="36">'10-17-2019'!$A$1:$S$92</definedName>
    <definedName name="_xlnm.Print_Area" localSheetId="37">'10-22-2019'!$A$1:$X$86</definedName>
    <definedName name="_xlnm.Print_Area" localSheetId="38">'10-31-2019'!$A$1:$S$92</definedName>
    <definedName name="_xlnm.Print_Area" localSheetId="40">'11-12-2019'!$A$1:$X$86</definedName>
    <definedName name="_xlnm.Print_Area" localSheetId="39">'11-14-2019'!$A$1:$S$92</definedName>
    <definedName name="_xlnm.Print_Area" localSheetId="41">'11-27-2019'!$A$1:$S$92</definedName>
    <definedName name="_xlnm.Print_Area" localSheetId="42">'12-10-2019'!$A$1:$X$86</definedName>
    <definedName name="_xlnm.Print_Area" localSheetId="44">'12-10-2019 ADJ'!$A$1:$X$86</definedName>
    <definedName name="_xlnm.Print_Area" localSheetId="43">'12-12-2019'!$A$1:$S$92</definedName>
    <definedName name="_xlnm.Print_Area" localSheetId="45">'12-13-19 PR ADJUSTMENT ACH'!$A$1:$S$92</definedName>
    <definedName name="_xlnm.Print_Area" localSheetId="46">'12-27-2019'!$A$1:$S$92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1" i="48" l="1"/>
  <c r="B32" i="48"/>
  <c r="K51" i="48" l="1"/>
  <c r="K17" i="48"/>
  <c r="K29" i="48" l="1"/>
  <c r="C26" i="2" l="1"/>
  <c r="N58" i="48" l="1"/>
  <c r="B70" i="48"/>
  <c r="G77" i="48"/>
  <c r="K66" i="48"/>
  <c r="K62" i="48"/>
  <c r="K61" i="48"/>
  <c r="B7" i="48"/>
  <c r="K90" i="48"/>
  <c r="K49" i="48" s="1"/>
  <c r="K84" i="48"/>
  <c r="K34" i="48" s="1"/>
  <c r="B79" i="48"/>
  <c r="G79" i="48"/>
  <c r="G81" i="48" s="1"/>
  <c r="G70" i="48"/>
  <c r="G71" i="48" s="1"/>
  <c r="H69" i="48"/>
  <c r="G69" i="48"/>
  <c r="F69" i="48"/>
  <c r="B66" i="48"/>
  <c r="B81" i="48" s="1"/>
  <c r="B82" i="48" s="1"/>
  <c r="G65" i="48"/>
  <c r="G66" i="48" s="1"/>
  <c r="K37" i="48" s="1"/>
  <c r="F65" i="48"/>
  <c r="F66" i="48" s="1"/>
  <c r="K47" i="48" s="1"/>
  <c r="D64" i="48"/>
  <c r="G60" i="48"/>
  <c r="F60" i="48"/>
  <c r="B60" i="48"/>
  <c r="M59" i="48"/>
  <c r="L59" i="48"/>
  <c r="G59" i="48"/>
  <c r="F59" i="48"/>
  <c r="B59" i="48"/>
  <c r="G58" i="48"/>
  <c r="F58" i="48"/>
  <c r="B57" i="48"/>
  <c r="H57" i="48" s="1"/>
  <c r="H56" i="48"/>
  <c r="K55" i="48"/>
  <c r="H55" i="48"/>
  <c r="K54" i="48"/>
  <c r="K53" i="48"/>
  <c r="R53" i="48" s="1"/>
  <c r="G52" i="48"/>
  <c r="F52" i="48"/>
  <c r="B52" i="48"/>
  <c r="H52" i="48" s="1"/>
  <c r="G51" i="48"/>
  <c r="G61" i="48" s="1"/>
  <c r="F51" i="48"/>
  <c r="K52" i="48" s="1"/>
  <c r="R52" i="48" s="1"/>
  <c r="K50" i="48"/>
  <c r="R50" i="48" s="1"/>
  <c r="G47" i="48"/>
  <c r="F47" i="48"/>
  <c r="B47" i="48"/>
  <c r="K46" i="48"/>
  <c r="H46" i="48"/>
  <c r="C46" i="48" s="1"/>
  <c r="K45" i="48"/>
  <c r="H45" i="48"/>
  <c r="C45" i="48" s="1"/>
  <c r="K44" i="48"/>
  <c r="H44" i="48"/>
  <c r="C44" i="48" s="1"/>
  <c r="K43" i="48"/>
  <c r="R43" i="48" s="1"/>
  <c r="H43" i="48"/>
  <c r="C43" i="48" s="1"/>
  <c r="H42" i="48"/>
  <c r="C42" i="48" s="1"/>
  <c r="B40" i="48"/>
  <c r="K39" i="48"/>
  <c r="B39" i="48"/>
  <c r="H39" i="48" s="1"/>
  <c r="B38" i="48"/>
  <c r="H38" i="48" s="1"/>
  <c r="B37" i="48"/>
  <c r="K36" i="48"/>
  <c r="R36" i="48" s="1"/>
  <c r="K35" i="48"/>
  <c r="R35" i="48" s="1"/>
  <c r="K33" i="48"/>
  <c r="K32" i="48"/>
  <c r="R32" i="48" s="1"/>
  <c r="G32" i="48"/>
  <c r="F32" i="48"/>
  <c r="H31" i="48"/>
  <c r="C31" i="48"/>
  <c r="H30" i="48"/>
  <c r="C30" i="48" s="1"/>
  <c r="R29" i="48"/>
  <c r="H29" i="48"/>
  <c r="C29" i="48"/>
  <c r="K28" i="48"/>
  <c r="H28" i="48"/>
  <c r="K27" i="48"/>
  <c r="H27" i="48"/>
  <c r="K26" i="48"/>
  <c r="R26" i="48" s="1"/>
  <c r="H26" i="48"/>
  <c r="H25" i="48"/>
  <c r="H24" i="48"/>
  <c r="H23" i="48"/>
  <c r="H22" i="48"/>
  <c r="H21" i="48"/>
  <c r="K20" i="48"/>
  <c r="H20" i="48"/>
  <c r="H19" i="48"/>
  <c r="H18" i="48"/>
  <c r="H17" i="48"/>
  <c r="H16" i="48"/>
  <c r="H15" i="48"/>
  <c r="H14" i="48"/>
  <c r="H13" i="48"/>
  <c r="H12" i="48"/>
  <c r="H11" i="48"/>
  <c r="H10" i="48"/>
  <c r="H9" i="48"/>
  <c r="K9" i="48" s="1"/>
  <c r="H8" i="48"/>
  <c r="K8" i="48" s="1"/>
  <c r="R13" i="48" l="1"/>
  <c r="K13" i="48"/>
  <c r="H59" i="48"/>
  <c r="H70" i="48"/>
  <c r="R16" i="48"/>
  <c r="K16" i="48"/>
  <c r="K12" i="48"/>
  <c r="K38" i="48"/>
  <c r="R38" i="48" s="1"/>
  <c r="H65" i="48"/>
  <c r="K74" i="48"/>
  <c r="K19" i="48"/>
  <c r="R19" i="48" s="1"/>
  <c r="H71" i="48"/>
  <c r="F70" i="48"/>
  <c r="H60" i="48"/>
  <c r="K15" i="48"/>
  <c r="K92" i="48"/>
  <c r="K93" i="48" s="1"/>
  <c r="H7" i="48"/>
  <c r="K7" i="48" s="1"/>
  <c r="R7" i="48" s="1"/>
  <c r="R17" i="48"/>
  <c r="H40" i="48"/>
  <c r="C40" i="48" s="1"/>
  <c r="B48" i="48"/>
  <c r="C39" i="48"/>
  <c r="H58" i="48"/>
  <c r="K56" i="48"/>
  <c r="F71" i="48"/>
  <c r="K48" i="48"/>
  <c r="R48" i="48" s="1"/>
  <c r="H80" i="48"/>
  <c r="K31" i="48"/>
  <c r="R31" i="48" s="1"/>
  <c r="C38" i="48"/>
  <c r="R46" i="48"/>
  <c r="H51" i="48"/>
  <c r="B53" i="48"/>
  <c r="B61" i="48" s="1"/>
  <c r="H61" i="48" s="1"/>
  <c r="F61" i="48"/>
  <c r="K10" i="48"/>
  <c r="R10" i="48" s="1"/>
  <c r="H37" i="48"/>
  <c r="H66" i="48"/>
  <c r="K18" i="48" s="1"/>
  <c r="N58" i="45"/>
  <c r="R40" i="48" l="1"/>
  <c r="H32" i="48"/>
  <c r="C32" i="48" s="1"/>
  <c r="R56" i="48"/>
  <c r="H47" i="48"/>
  <c r="C47" i="48" s="1"/>
  <c r="R12" i="48"/>
  <c r="R23" i="48" s="1"/>
  <c r="C37" i="48"/>
  <c r="B74" i="48"/>
  <c r="K40" i="48"/>
  <c r="B70" i="47"/>
  <c r="H70" i="47" s="1"/>
  <c r="G70" i="47"/>
  <c r="G58" i="47"/>
  <c r="G16" i="47"/>
  <c r="K35" i="47" s="1"/>
  <c r="R35" i="47" s="1"/>
  <c r="G15" i="47"/>
  <c r="G7" i="47"/>
  <c r="K26" i="47" s="1"/>
  <c r="R26" i="47" s="1"/>
  <c r="N59" i="47"/>
  <c r="N58" i="47"/>
  <c r="B79" i="47"/>
  <c r="G46" i="47"/>
  <c r="H46" i="47" s="1"/>
  <c r="C46" i="47" s="1"/>
  <c r="G45" i="47"/>
  <c r="H45" i="47" s="1"/>
  <c r="C45" i="47" s="1"/>
  <c r="G44" i="47"/>
  <c r="G43" i="47"/>
  <c r="G42" i="47"/>
  <c r="B80" i="47"/>
  <c r="K90" i="47"/>
  <c r="K84" i="47"/>
  <c r="K34" i="47" s="1"/>
  <c r="G77" i="47"/>
  <c r="G79" i="47" s="1"/>
  <c r="G81" i="47" s="1"/>
  <c r="K74" i="47"/>
  <c r="B66" i="47"/>
  <c r="B81" i="47" s="1"/>
  <c r="B82" i="47" s="1"/>
  <c r="G65" i="47"/>
  <c r="F65" i="47"/>
  <c r="F66" i="47" s="1"/>
  <c r="K47" i="47" s="1"/>
  <c r="D64" i="47"/>
  <c r="G60" i="47"/>
  <c r="F60" i="47"/>
  <c r="B60" i="47"/>
  <c r="M59" i="47"/>
  <c r="L59" i="47"/>
  <c r="G59" i="47"/>
  <c r="F59" i="47"/>
  <c r="B59" i="47"/>
  <c r="B57" i="47"/>
  <c r="H57" i="47" s="1"/>
  <c r="H56" i="47"/>
  <c r="K55" i="47"/>
  <c r="H55" i="47"/>
  <c r="K13" i="47" s="1"/>
  <c r="R13" i="47" s="1"/>
  <c r="K54" i="47"/>
  <c r="K53" i="47"/>
  <c r="R53" i="47" s="1"/>
  <c r="G52" i="47"/>
  <c r="F52" i="47"/>
  <c r="H52" i="47" s="1"/>
  <c r="B52" i="47"/>
  <c r="K51" i="47"/>
  <c r="G51" i="47"/>
  <c r="G61" i="47" s="1"/>
  <c r="F51" i="47"/>
  <c r="F61" i="47" s="1"/>
  <c r="B51" i="47"/>
  <c r="B53" i="47" s="1"/>
  <c r="R50" i="47"/>
  <c r="K50" i="47"/>
  <c r="K49" i="47"/>
  <c r="F47" i="47"/>
  <c r="B47" i="47"/>
  <c r="K46" i="47"/>
  <c r="R46" i="47" s="1"/>
  <c r="K45" i="47"/>
  <c r="K44" i="47"/>
  <c r="K43" i="47"/>
  <c r="H43" i="47"/>
  <c r="C43" i="47" s="1"/>
  <c r="H42" i="47"/>
  <c r="B40" i="47"/>
  <c r="H40" i="47" s="1"/>
  <c r="C40" i="47" s="1"/>
  <c r="K39" i="47"/>
  <c r="B39" i="47"/>
  <c r="H39" i="47" s="1"/>
  <c r="C39" i="47" s="1"/>
  <c r="B38" i="47"/>
  <c r="H38" i="47" s="1"/>
  <c r="B37" i="47"/>
  <c r="K36" i="47"/>
  <c r="R36" i="47" s="1"/>
  <c r="K33" i="47"/>
  <c r="K32" i="47"/>
  <c r="R32" i="47" s="1"/>
  <c r="G32" i="47"/>
  <c r="F32" i="47"/>
  <c r="B32" i="47"/>
  <c r="H31" i="47"/>
  <c r="C31" i="47" s="1"/>
  <c r="H30" i="47"/>
  <c r="C30" i="47" s="1"/>
  <c r="H29" i="47"/>
  <c r="C29" i="47" s="1"/>
  <c r="K28" i="47"/>
  <c r="H28" i="47"/>
  <c r="K27" i="47"/>
  <c r="H27" i="47"/>
  <c r="H26" i="47"/>
  <c r="H25" i="47"/>
  <c r="H24" i="47"/>
  <c r="H23" i="47"/>
  <c r="H22" i="47"/>
  <c r="H21" i="47"/>
  <c r="K20" i="47"/>
  <c r="H20" i="47"/>
  <c r="H19" i="47"/>
  <c r="H18" i="47"/>
  <c r="H17" i="47"/>
  <c r="H15" i="47"/>
  <c r="H14" i="47"/>
  <c r="H13" i="47"/>
  <c r="H12" i="47"/>
  <c r="H11" i="47"/>
  <c r="H10" i="47"/>
  <c r="K15" i="47" s="1"/>
  <c r="H9" i="47"/>
  <c r="K9" i="47" s="1"/>
  <c r="H8" i="47"/>
  <c r="K8" i="47" s="1"/>
  <c r="H7" i="47"/>
  <c r="B71" i="46"/>
  <c r="O58" i="46"/>
  <c r="H16" i="47" l="1"/>
  <c r="K16" i="47" s="1"/>
  <c r="R16" i="47" s="1"/>
  <c r="K31" i="47"/>
  <c r="R31" i="47" s="1"/>
  <c r="H60" i="47"/>
  <c r="C42" i="47"/>
  <c r="H65" i="47"/>
  <c r="H80" i="47"/>
  <c r="K23" i="48"/>
  <c r="K58" i="48" s="1"/>
  <c r="O58" i="48" s="1"/>
  <c r="C82" i="48"/>
  <c r="B83" i="48"/>
  <c r="G47" i="47"/>
  <c r="H44" i="47"/>
  <c r="C44" i="47" s="1"/>
  <c r="K29" i="47"/>
  <c r="R29" i="47" s="1"/>
  <c r="K17" i="47"/>
  <c r="R17" i="47" s="1"/>
  <c r="F70" i="47"/>
  <c r="F71" i="47" s="1"/>
  <c r="K92" i="47"/>
  <c r="K93" i="47" s="1"/>
  <c r="H59" i="47"/>
  <c r="H32" i="47"/>
  <c r="C32" i="47" s="1"/>
  <c r="H37" i="47"/>
  <c r="C37" i="47" s="1"/>
  <c r="C38" i="47"/>
  <c r="B61" i="47"/>
  <c r="H61" i="47" s="1"/>
  <c r="G71" i="47"/>
  <c r="K38" i="47"/>
  <c r="R38" i="47" s="1"/>
  <c r="K19" i="47"/>
  <c r="R19" i="47" s="1"/>
  <c r="H71" i="47"/>
  <c r="G66" i="47"/>
  <c r="K37" i="47" s="1"/>
  <c r="K7" i="47"/>
  <c r="R43" i="47"/>
  <c r="K52" i="47"/>
  <c r="R52" i="47" s="1"/>
  <c r="H66" i="47"/>
  <c r="K18" i="47" s="1"/>
  <c r="B48" i="47"/>
  <c r="H51" i="47"/>
  <c r="K12" i="47" l="1"/>
  <c r="R12" i="47" s="1"/>
  <c r="K40" i="47"/>
  <c r="K10" i="47"/>
  <c r="R10" i="47" s="1"/>
  <c r="R40" i="47"/>
  <c r="H47" i="47"/>
  <c r="C47" i="47" s="1"/>
  <c r="K48" i="47"/>
  <c r="R48" i="47" s="1"/>
  <c r="R56" i="47" s="1"/>
  <c r="B74" i="47"/>
  <c r="R7" i="47"/>
  <c r="K56" i="47"/>
  <c r="R23" i="47" l="1"/>
  <c r="K23" i="47"/>
  <c r="K58" i="47" s="1"/>
  <c r="O58" i="47" s="1"/>
  <c r="T59" i="47" s="1"/>
  <c r="C82" i="47"/>
  <c r="B83" i="47"/>
  <c r="B86" i="47" l="1"/>
  <c r="K88" i="46" l="1"/>
  <c r="K83" i="46"/>
  <c r="G80" i="46"/>
  <c r="B80" i="46"/>
  <c r="H81" i="46" s="1"/>
  <c r="K76" i="46"/>
  <c r="B72" i="46"/>
  <c r="B67" i="46"/>
  <c r="G61" i="46"/>
  <c r="F61" i="46"/>
  <c r="B61" i="46"/>
  <c r="G60" i="46"/>
  <c r="F60" i="46"/>
  <c r="B60" i="46"/>
  <c r="H58" i="46"/>
  <c r="H57" i="46"/>
  <c r="W56" i="46"/>
  <c r="U56" i="46"/>
  <c r="S56" i="46"/>
  <c r="H56" i="46"/>
  <c r="K14" i="46" s="1"/>
  <c r="K55" i="46"/>
  <c r="K53" i="46"/>
  <c r="G53" i="46"/>
  <c r="F53" i="46"/>
  <c r="B53" i="46"/>
  <c r="G52" i="46"/>
  <c r="G62" i="46" s="1"/>
  <c r="F52" i="46"/>
  <c r="F62" i="46" s="1"/>
  <c r="B52" i="46"/>
  <c r="K51" i="46"/>
  <c r="K50" i="46"/>
  <c r="K49" i="46"/>
  <c r="G48" i="46"/>
  <c r="F48" i="46"/>
  <c r="B48" i="46"/>
  <c r="H47" i="46"/>
  <c r="C47" i="46"/>
  <c r="K46" i="46"/>
  <c r="H46" i="46"/>
  <c r="C46" i="46" s="1"/>
  <c r="H45" i="46"/>
  <c r="C45" i="46" s="1"/>
  <c r="K44" i="46"/>
  <c r="H44" i="46"/>
  <c r="C44" i="46" s="1"/>
  <c r="K43" i="46"/>
  <c r="H43" i="46"/>
  <c r="C43" i="46" s="1"/>
  <c r="B41" i="46"/>
  <c r="B40" i="46"/>
  <c r="K39" i="46"/>
  <c r="B39" i="46"/>
  <c r="B38" i="46"/>
  <c r="K36" i="46"/>
  <c r="K35" i="46"/>
  <c r="K34" i="46"/>
  <c r="G33" i="46"/>
  <c r="F33" i="46"/>
  <c r="K32" i="46"/>
  <c r="H32" i="46"/>
  <c r="C32" i="46"/>
  <c r="H31" i="46"/>
  <c r="K30" i="46"/>
  <c r="H30" i="46"/>
  <c r="K29" i="46"/>
  <c r="H29" i="46"/>
  <c r="K28" i="46"/>
  <c r="H28" i="46"/>
  <c r="H27" i="46"/>
  <c r="K26" i="46"/>
  <c r="H26" i="46"/>
  <c r="H25" i="46"/>
  <c r="H24" i="46"/>
  <c r="H23" i="46"/>
  <c r="H22" i="46"/>
  <c r="K21" i="46"/>
  <c r="H21" i="46"/>
  <c r="K20" i="46"/>
  <c r="H20" i="46"/>
  <c r="H19" i="46"/>
  <c r="H18" i="46"/>
  <c r="H17" i="46"/>
  <c r="K16" i="46" s="1"/>
  <c r="H16" i="46"/>
  <c r="V15" i="46"/>
  <c r="U15" i="46"/>
  <c r="T15" i="46"/>
  <c r="S15" i="46"/>
  <c r="W15" i="46" s="1"/>
  <c r="R15" i="46"/>
  <c r="Q15" i="46"/>
  <c r="P15" i="46"/>
  <c r="H15" i="46"/>
  <c r="H14" i="46"/>
  <c r="V13" i="46"/>
  <c r="U13" i="46"/>
  <c r="T13" i="46"/>
  <c r="X13" i="46" s="1"/>
  <c r="S13" i="46"/>
  <c r="R13" i="46"/>
  <c r="Q13" i="46"/>
  <c r="P13" i="46"/>
  <c r="H13" i="46"/>
  <c r="H12" i="46"/>
  <c r="V11" i="46"/>
  <c r="V16" i="46" s="1"/>
  <c r="U11" i="46"/>
  <c r="U16" i="46" s="1"/>
  <c r="T11" i="46"/>
  <c r="X11" i="46" s="1"/>
  <c r="S11" i="46"/>
  <c r="R11" i="46"/>
  <c r="R16" i="46" s="1"/>
  <c r="Q11" i="46"/>
  <c r="Q16" i="46" s="1"/>
  <c r="P11" i="46"/>
  <c r="H11" i="46"/>
  <c r="H10" i="46"/>
  <c r="K11" i="46" s="1"/>
  <c r="H9" i="46"/>
  <c r="K9" i="46" s="1"/>
  <c r="X8" i="46"/>
  <c r="W8" i="46"/>
  <c r="P8" i="46"/>
  <c r="H8" i="46"/>
  <c r="G65" i="46"/>
  <c r="B33" i="46"/>
  <c r="X7" i="46"/>
  <c r="W7" i="46"/>
  <c r="W6" i="46" s="1"/>
  <c r="P7" i="46"/>
  <c r="H7" i="46"/>
  <c r="K7" i="46" s="1"/>
  <c r="V6" i="46"/>
  <c r="U6" i="46"/>
  <c r="T6" i="46"/>
  <c r="S6" i="46"/>
  <c r="R6" i="46"/>
  <c r="Q6" i="46"/>
  <c r="X6" i="46" l="1"/>
  <c r="W13" i="46"/>
  <c r="T16" i="46"/>
  <c r="S16" i="46"/>
  <c r="B54" i="46"/>
  <c r="B62" i="46" s="1"/>
  <c r="H62" i="46" s="1"/>
  <c r="K17" i="46"/>
  <c r="H61" i="46"/>
  <c r="H60" i="46"/>
  <c r="B82" i="46"/>
  <c r="B83" i="46" s="1"/>
  <c r="K10" i="46"/>
  <c r="H33" i="46"/>
  <c r="C33" i="46" s="1"/>
  <c r="H65" i="46"/>
  <c r="H59" i="46" s="1"/>
  <c r="K15" i="46"/>
  <c r="G70" i="46"/>
  <c r="G66" i="46"/>
  <c r="X16" i="46"/>
  <c r="X15" i="46"/>
  <c r="H38" i="46"/>
  <c r="H39" i="46"/>
  <c r="C39" i="46" s="1"/>
  <c r="H40" i="46"/>
  <c r="C40" i="46" s="1"/>
  <c r="H41" i="46"/>
  <c r="C41" i="46" s="1"/>
  <c r="H52" i="46"/>
  <c r="F65" i="46"/>
  <c r="K8" i="46"/>
  <c r="K27" i="46"/>
  <c r="B49" i="46"/>
  <c r="H53" i="46"/>
  <c r="W11" i="46"/>
  <c r="W16" i="46" s="1"/>
  <c r="K74" i="45"/>
  <c r="K90" i="45"/>
  <c r="K84" i="45"/>
  <c r="K34" i="45" s="1"/>
  <c r="B79" i="45"/>
  <c r="G77" i="45"/>
  <c r="G79" i="45" s="1"/>
  <c r="H69" i="45"/>
  <c r="H70" i="45" s="1"/>
  <c r="G69" i="45"/>
  <c r="G70" i="45" s="1"/>
  <c r="F69" i="45"/>
  <c r="F70" i="45" s="1"/>
  <c r="K48" i="45" s="1"/>
  <c r="R48" i="45" s="1"/>
  <c r="B66" i="45"/>
  <c r="B81" i="45" s="1"/>
  <c r="B82" i="45" s="1"/>
  <c r="G65" i="45"/>
  <c r="G66" i="45" s="1"/>
  <c r="F65" i="45"/>
  <c r="F66" i="45" s="1"/>
  <c r="K47" i="45" s="1"/>
  <c r="D64" i="45"/>
  <c r="G60" i="45"/>
  <c r="F60" i="45"/>
  <c r="B60" i="45"/>
  <c r="M59" i="45"/>
  <c r="L59" i="45"/>
  <c r="G59" i="45"/>
  <c r="F59" i="45"/>
  <c r="B59" i="45"/>
  <c r="G58" i="45"/>
  <c r="F58" i="45"/>
  <c r="H58" i="45" s="1"/>
  <c r="B57" i="45"/>
  <c r="H57" i="45" s="1"/>
  <c r="H56" i="45"/>
  <c r="K55" i="45"/>
  <c r="H55" i="45"/>
  <c r="K13" i="45" s="1"/>
  <c r="R13" i="45" s="1"/>
  <c r="K54" i="45"/>
  <c r="R53" i="45"/>
  <c r="K53" i="45"/>
  <c r="G52" i="45"/>
  <c r="F52" i="45"/>
  <c r="B52" i="45"/>
  <c r="K51" i="45"/>
  <c r="G51" i="45"/>
  <c r="K31" i="45" s="1"/>
  <c r="R31" i="45" s="1"/>
  <c r="F51" i="45"/>
  <c r="F61" i="45" s="1"/>
  <c r="B51" i="45"/>
  <c r="B53" i="45" s="1"/>
  <c r="K50" i="45"/>
  <c r="R50" i="45" s="1"/>
  <c r="K49" i="45"/>
  <c r="G47" i="45"/>
  <c r="F47" i="45"/>
  <c r="B47" i="45"/>
  <c r="K46" i="45"/>
  <c r="R46" i="45" s="1"/>
  <c r="H46" i="45"/>
  <c r="C46" i="45" s="1"/>
  <c r="K45" i="45"/>
  <c r="H45" i="45"/>
  <c r="C45" i="45" s="1"/>
  <c r="K44" i="45"/>
  <c r="H44" i="45"/>
  <c r="C44" i="45" s="1"/>
  <c r="H43" i="45"/>
  <c r="C43" i="45" s="1"/>
  <c r="H42" i="45"/>
  <c r="C42" i="45" s="1"/>
  <c r="B40" i="45"/>
  <c r="H40" i="45" s="1"/>
  <c r="C40" i="45" s="1"/>
  <c r="K39" i="45"/>
  <c r="B39" i="45"/>
  <c r="H39" i="45" s="1"/>
  <c r="C39" i="45" s="1"/>
  <c r="B38" i="45"/>
  <c r="B37" i="45"/>
  <c r="K36" i="45"/>
  <c r="R36" i="45" s="1"/>
  <c r="K35" i="45"/>
  <c r="R35" i="45" s="1"/>
  <c r="K33" i="45"/>
  <c r="K32" i="45"/>
  <c r="R32" i="45" s="1"/>
  <c r="G32" i="45"/>
  <c r="B32" i="45"/>
  <c r="H31" i="45"/>
  <c r="C31" i="45"/>
  <c r="H30" i="45"/>
  <c r="C30" i="45" s="1"/>
  <c r="K29" i="45"/>
  <c r="R29" i="45" s="1"/>
  <c r="F32" i="45"/>
  <c r="K28" i="45"/>
  <c r="H28" i="45"/>
  <c r="K27" i="45"/>
  <c r="H27" i="45"/>
  <c r="K26" i="45"/>
  <c r="R26" i="45" s="1"/>
  <c r="H26" i="45"/>
  <c r="H25" i="45"/>
  <c r="H24" i="45"/>
  <c r="H23" i="45"/>
  <c r="H22" i="45"/>
  <c r="H21" i="45"/>
  <c r="H20" i="45"/>
  <c r="H19" i="45"/>
  <c r="H18" i="45"/>
  <c r="H17" i="45"/>
  <c r="H16" i="45"/>
  <c r="K16" i="45" s="1"/>
  <c r="R16" i="45" s="1"/>
  <c r="H15" i="45"/>
  <c r="H14" i="45"/>
  <c r="H13" i="45"/>
  <c r="H12" i="45"/>
  <c r="H11" i="45"/>
  <c r="H10" i="45"/>
  <c r="H9" i="45"/>
  <c r="K9" i="45" s="1"/>
  <c r="H8" i="45"/>
  <c r="K8" i="45" s="1"/>
  <c r="H7" i="45"/>
  <c r="H65" i="45" l="1"/>
  <c r="H60" i="45"/>
  <c r="B75" i="46"/>
  <c r="C83" i="46" s="1"/>
  <c r="H70" i="46"/>
  <c r="H71" i="46" s="1"/>
  <c r="H72" i="46" s="1"/>
  <c r="K19" i="46" s="1"/>
  <c r="K12" i="46"/>
  <c r="F66" i="46"/>
  <c r="F67" i="46" s="1"/>
  <c r="K47" i="46" s="1"/>
  <c r="D65" i="46"/>
  <c r="F70" i="46"/>
  <c r="F71" i="46" s="1"/>
  <c r="F72" i="46" s="1"/>
  <c r="K48" i="46" s="1"/>
  <c r="F59" i="46"/>
  <c r="K52" i="46" s="1"/>
  <c r="G71" i="46"/>
  <c r="G72" i="46" s="1"/>
  <c r="K38" i="46" s="1"/>
  <c r="G59" i="46"/>
  <c r="K31" i="46" s="1"/>
  <c r="H48" i="46"/>
  <c r="C48" i="46" s="1"/>
  <c r="C38" i="46"/>
  <c r="G67" i="46"/>
  <c r="K15" i="45"/>
  <c r="K92" i="45"/>
  <c r="K93" i="45" s="1"/>
  <c r="F71" i="45"/>
  <c r="K10" i="45"/>
  <c r="R10" i="45" s="1"/>
  <c r="K17" i="45"/>
  <c r="R17" i="45" s="1"/>
  <c r="K20" i="45"/>
  <c r="H52" i="45"/>
  <c r="H59" i="45"/>
  <c r="B61" i="45"/>
  <c r="K7" i="45"/>
  <c r="H66" i="45"/>
  <c r="K18" i="45" s="1"/>
  <c r="K37" i="45"/>
  <c r="G71" i="45"/>
  <c r="K38" i="45"/>
  <c r="R38" i="45" s="1"/>
  <c r="R40" i="45" s="1"/>
  <c r="H71" i="45"/>
  <c r="K19" i="45"/>
  <c r="R19" i="45" s="1"/>
  <c r="G81" i="45"/>
  <c r="H80" i="45"/>
  <c r="H29" i="45"/>
  <c r="C29" i="45" s="1"/>
  <c r="H37" i="45"/>
  <c r="H38" i="45"/>
  <c r="C38" i="45" s="1"/>
  <c r="K43" i="45"/>
  <c r="G61" i="45"/>
  <c r="K52" i="45"/>
  <c r="R52" i="45" s="1"/>
  <c r="B48" i="45"/>
  <c r="H51" i="45"/>
  <c r="K12" i="45" s="1"/>
  <c r="R12" i="45" s="1"/>
  <c r="H43" i="44"/>
  <c r="C43" i="44" s="1"/>
  <c r="B71" i="44"/>
  <c r="G8" i="44"/>
  <c r="B8" i="44"/>
  <c r="F65" i="44" s="1"/>
  <c r="F66" i="44" s="1"/>
  <c r="F67" i="44" s="1"/>
  <c r="K47" i="44" s="1"/>
  <c r="O58" i="44"/>
  <c r="K88" i="44"/>
  <c r="K49" i="44" s="1"/>
  <c r="K83" i="44"/>
  <c r="G80" i="44"/>
  <c r="B80" i="44"/>
  <c r="K76" i="44"/>
  <c r="B67" i="44"/>
  <c r="G65" i="44"/>
  <c r="G70" i="44" s="1"/>
  <c r="G59" i="44" s="1"/>
  <c r="F62" i="44"/>
  <c r="G61" i="44"/>
  <c r="F61" i="44"/>
  <c r="B61" i="44"/>
  <c r="G60" i="44"/>
  <c r="F60" i="44"/>
  <c r="B60" i="44"/>
  <c r="H58" i="44"/>
  <c r="H57" i="44"/>
  <c r="W56" i="44"/>
  <c r="U56" i="44"/>
  <c r="S56" i="44"/>
  <c r="H56" i="44"/>
  <c r="K14" i="44" s="1"/>
  <c r="K55" i="44"/>
  <c r="K53" i="44"/>
  <c r="G53" i="44"/>
  <c r="F53" i="44"/>
  <c r="B53" i="44"/>
  <c r="G52" i="44"/>
  <c r="G62" i="44" s="1"/>
  <c r="F52" i="44"/>
  <c r="B52" i="44"/>
  <c r="K51" i="44"/>
  <c r="K50" i="44"/>
  <c r="G48" i="44"/>
  <c r="F48" i="44"/>
  <c r="B48" i="44"/>
  <c r="H47" i="44"/>
  <c r="C47" i="44" s="1"/>
  <c r="K46" i="44"/>
  <c r="H46" i="44"/>
  <c r="C46" i="44"/>
  <c r="H45" i="44"/>
  <c r="C45" i="44" s="1"/>
  <c r="K44" i="44"/>
  <c r="H44" i="44"/>
  <c r="C44" i="44" s="1"/>
  <c r="K43" i="44"/>
  <c r="B41" i="44"/>
  <c r="H41" i="44" s="1"/>
  <c r="B40" i="44"/>
  <c r="H40" i="44" s="1"/>
  <c r="K39" i="44"/>
  <c r="B39" i="44"/>
  <c r="H39" i="44" s="1"/>
  <c r="B38" i="44"/>
  <c r="H38" i="44" s="1"/>
  <c r="K36" i="44"/>
  <c r="K35" i="44"/>
  <c r="K34" i="44"/>
  <c r="G33" i="44"/>
  <c r="F33" i="44"/>
  <c r="K32" i="44"/>
  <c r="H32" i="44"/>
  <c r="C32" i="44"/>
  <c r="H31" i="44"/>
  <c r="K30" i="44"/>
  <c r="H30" i="44"/>
  <c r="K21" i="44" s="1"/>
  <c r="K29" i="44"/>
  <c r="H29" i="44"/>
  <c r="K28" i="44"/>
  <c r="H28" i="44"/>
  <c r="K27" i="44"/>
  <c r="H27" i="44"/>
  <c r="K26" i="44"/>
  <c r="H26" i="44"/>
  <c r="H25" i="44"/>
  <c r="H24" i="44"/>
  <c r="H23" i="44"/>
  <c r="H22" i="44"/>
  <c r="H21" i="44"/>
  <c r="K20" i="44"/>
  <c r="H20" i="44"/>
  <c r="H19" i="44"/>
  <c r="H18" i="44"/>
  <c r="H17" i="44"/>
  <c r="K16" i="44" s="1"/>
  <c r="H16" i="44"/>
  <c r="V15" i="44"/>
  <c r="U15" i="44"/>
  <c r="T15" i="44"/>
  <c r="S15" i="44"/>
  <c r="R15" i="44"/>
  <c r="Q15" i="44"/>
  <c r="P15" i="44"/>
  <c r="H15" i="44"/>
  <c r="H14" i="44"/>
  <c r="V13" i="44"/>
  <c r="U13" i="44"/>
  <c r="T13" i="44"/>
  <c r="T16" i="44" s="1"/>
  <c r="S13" i="44"/>
  <c r="R13" i="44"/>
  <c r="Q13" i="44"/>
  <c r="P13" i="44"/>
  <c r="H13" i="44"/>
  <c r="H12" i="44"/>
  <c r="V11" i="44"/>
  <c r="U11" i="44"/>
  <c r="U16" i="44" s="1"/>
  <c r="T11" i="44"/>
  <c r="S11" i="44"/>
  <c r="R11" i="44"/>
  <c r="Q11" i="44"/>
  <c r="Q16" i="44" s="1"/>
  <c r="P11" i="44"/>
  <c r="H11" i="44"/>
  <c r="H10" i="44"/>
  <c r="K11" i="44" s="1"/>
  <c r="H9" i="44"/>
  <c r="K9" i="44" s="1"/>
  <c r="X8" i="44"/>
  <c r="W8" i="44"/>
  <c r="P8" i="44"/>
  <c r="X7" i="44"/>
  <c r="X6" i="44" s="1"/>
  <c r="W7" i="44"/>
  <c r="P7" i="44"/>
  <c r="H7" i="44"/>
  <c r="K7" i="44" s="1"/>
  <c r="W6" i="44"/>
  <c r="V6" i="44"/>
  <c r="U6" i="44"/>
  <c r="T6" i="44"/>
  <c r="S6" i="44"/>
  <c r="R6" i="44"/>
  <c r="Q6" i="44"/>
  <c r="W11" i="44" l="1"/>
  <c r="X13" i="44"/>
  <c r="W15" i="44"/>
  <c r="H60" i="44"/>
  <c r="H8" i="44"/>
  <c r="K8" i="44" s="1"/>
  <c r="W13" i="44"/>
  <c r="X15" i="44"/>
  <c r="B33" i="44"/>
  <c r="K15" i="44"/>
  <c r="R16" i="44"/>
  <c r="V16" i="44"/>
  <c r="S16" i="44"/>
  <c r="H53" i="44"/>
  <c r="H61" i="44"/>
  <c r="B84" i="46"/>
  <c r="K37" i="46"/>
  <c r="K40" i="46" s="1"/>
  <c r="H67" i="46"/>
  <c r="K18" i="46" s="1"/>
  <c r="K23" i="46" s="1"/>
  <c r="H66" i="46"/>
  <c r="K56" i="46"/>
  <c r="H61" i="45"/>
  <c r="H47" i="45"/>
  <c r="C47" i="45" s="1"/>
  <c r="K40" i="45"/>
  <c r="B74" i="45"/>
  <c r="C82" i="45" s="1"/>
  <c r="R7" i="45"/>
  <c r="R23" i="45" s="1"/>
  <c r="K23" i="45"/>
  <c r="C37" i="45"/>
  <c r="K56" i="45"/>
  <c r="R43" i="45"/>
  <c r="R56" i="45" s="1"/>
  <c r="H32" i="45"/>
  <c r="C32" i="45" s="1"/>
  <c r="F59" i="44"/>
  <c r="K52" i="44" s="1"/>
  <c r="G71" i="44"/>
  <c r="G72" i="44" s="1"/>
  <c r="K38" i="44" s="1"/>
  <c r="H81" i="44"/>
  <c r="K31" i="44"/>
  <c r="K17" i="44"/>
  <c r="H65" i="44"/>
  <c r="H59" i="44" s="1"/>
  <c r="B49" i="44"/>
  <c r="H52" i="44"/>
  <c r="G66" i="44"/>
  <c r="H66" i="44" s="1"/>
  <c r="H48" i="44"/>
  <c r="H33" i="44"/>
  <c r="C33" i="44" s="1"/>
  <c r="B72" i="44"/>
  <c r="X11" i="44"/>
  <c r="X16" i="44" s="1"/>
  <c r="C38" i="44"/>
  <c r="C39" i="44"/>
  <c r="C40" i="44"/>
  <c r="C41" i="44"/>
  <c r="B54" i="44"/>
  <c r="B62" i="44" s="1"/>
  <c r="H62" i="44" s="1"/>
  <c r="F70" i="44"/>
  <c r="F71" i="44" s="1"/>
  <c r="F72" i="44" s="1"/>
  <c r="K48" i="44" s="1"/>
  <c r="K10" i="44"/>
  <c r="D65" i="44"/>
  <c r="K66" i="43"/>
  <c r="W16" i="44" l="1"/>
  <c r="K58" i="46"/>
  <c r="K58" i="45"/>
  <c r="O58" i="45" s="1"/>
  <c r="B83" i="45"/>
  <c r="K56" i="44"/>
  <c r="K12" i="44"/>
  <c r="C48" i="44"/>
  <c r="H70" i="44"/>
  <c r="H71" i="44" s="1"/>
  <c r="H72" i="44" s="1"/>
  <c r="K19" i="44" s="1"/>
  <c r="G67" i="44"/>
  <c r="H67" i="44" s="1"/>
  <c r="K18" i="44" s="1"/>
  <c r="B75" i="44"/>
  <c r="B82" i="44"/>
  <c r="B83" i="44" s="1"/>
  <c r="N58" i="43"/>
  <c r="K90" i="43"/>
  <c r="K49" i="43" s="1"/>
  <c r="K84" i="43"/>
  <c r="K34" i="43" s="1"/>
  <c r="B79" i="43"/>
  <c r="G77" i="43"/>
  <c r="G79" i="43" s="1"/>
  <c r="G81" i="43" s="1"/>
  <c r="F70" i="43"/>
  <c r="H69" i="43"/>
  <c r="G69" i="43"/>
  <c r="G70" i="43" s="1"/>
  <c r="F69" i="43"/>
  <c r="K74" i="43"/>
  <c r="B66" i="43"/>
  <c r="B81" i="43" s="1"/>
  <c r="B82" i="43" s="1"/>
  <c r="G65" i="43"/>
  <c r="G66" i="43" s="1"/>
  <c r="K37" i="43" s="1"/>
  <c r="F65" i="43"/>
  <c r="F66" i="43" s="1"/>
  <c r="K47" i="43" s="1"/>
  <c r="D64" i="43"/>
  <c r="G60" i="43"/>
  <c r="F60" i="43"/>
  <c r="B60" i="43"/>
  <c r="M59" i="43"/>
  <c r="L59" i="43"/>
  <c r="G59" i="43"/>
  <c r="F59" i="43"/>
  <c r="B59" i="43"/>
  <c r="H59" i="43" s="1"/>
  <c r="G58" i="43"/>
  <c r="F58" i="43"/>
  <c r="H58" i="43" s="1"/>
  <c r="B57" i="43"/>
  <c r="H57" i="43" s="1"/>
  <c r="H56" i="43"/>
  <c r="K55" i="43"/>
  <c r="H55" i="43"/>
  <c r="K13" i="43" s="1"/>
  <c r="R13" i="43" s="1"/>
  <c r="K54" i="43"/>
  <c r="K53" i="43"/>
  <c r="R53" i="43" s="1"/>
  <c r="G52" i="43"/>
  <c r="F52" i="43"/>
  <c r="H52" i="43" s="1"/>
  <c r="B52" i="43"/>
  <c r="K51" i="43"/>
  <c r="G51" i="43"/>
  <c r="K31" i="43" s="1"/>
  <c r="R31" i="43" s="1"/>
  <c r="F51" i="43"/>
  <c r="F61" i="43" s="1"/>
  <c r="B51" i="43"/>
  <c r="B53" i="43" s="1"/>
  <c r="K50" i="43"/>
  <c r="R50" i="43" s="1"/>
  <c r="G47" i="43"/>
  <c r="F47" i="43"/>
  <c r="B47" i="43"/>
  <c r="K46" i="43"/>
  <c r="R46" i="43" s="1"/>
  <c r="H46" i="43"/>
  <c r="C46" i="43" s="1"/>
  <c r="K45" i="43"/>
  <c r="H45" i="43"/>
  <c r="C45" i="43" s="1"/>
  <c r="K44" i="43"/>
  <c r="H44" i="43"/>
  <c r="C44" i="43"/>
  <c r="H43" i="43"/>
  <c r="C43" i="43" s="1"/>
  <c r="H42" i="43"/>
  <c r="C42" i="43" s="1"/>
  <c r="B40" i="43"/>
  <c r="H40" i="43" s="1"/>
  <c r="C40" i="43" s="1"/>
  <c r="K39" i="43"/>
  <c r="B39" i="43"/>
  <c r="H39" i="43" s="1"/>
  <c r="C39" i="43" s="1"/>
  <c r="B38" i="43"/>
  <c r="H38" i="43" s="1"/>
  <c r="B37" i="43"/>
  <c r="H37" i="43" s="1"/>
  <c r="K36" i="43"/>
  <c r="R36" i="43" s="1"/>
  <c r="K35" i="43"/>
  <c r="R35" i="43" s="1"/>
  <c r="K33" i="43"/>
  <c r="K32" i="43"/>
  <c r="R32" i="43" s="1"/>
  <c r="B32" i="43"/>
  <c r="H31" i="43"/>
  <c r="C31" i="43" s="1"/>
  <c r="H30" i="43"/>
  <c r="C30" i="43" s="1"/>
  <c r="K29" i="43"/>
  <c r="R29" i="43" s="1"/>
  <c r="G29" i="43"/>
  <c r="G32" i="43" s="1"/>
  <c r="F29" i="43"/>
  <c r="F32" i="43" s="1"/>
  <c r="K28" i="43"/>
  <c r="H28" i="43"/>
  <c r="K27" i="43"/>
  <c r="H27" i="43"/>
  <c r="H26" i="43"/>
  <c r="H25" i="43"/>
  <c r="H24" i="43"/>
  <c r="H23" i="43"/>
  <c r="H22" i="43"/>
  <c r="H21" i="43"/>
  <c r="H20" i="43"/>
  <c r="H19" i="43"/>
  <c r="H18" i="43"/>
  <c r="H17" i="43"/>
  <c r="H16" i="43"/>
  <c r="K16" i="43" s="1"/>
  <c r="R16" i="43" s="1"/>
  <c r="H15" i="43"/>
  <c r="H14" i="43"/>
  <c r="H13" i="43"/>
  <c r="H12" i="43"/>
  <c r="H11" i="43"/>
  <c r="H10" i="43"/>
  <c r="K9" i="43"/>
  <c r="H9" i="43"/>
  <c r="K8" i="43"/>
  <c r="H8" i="43"/>
  <c r="H7" i="43"/>
  <c r="K43" i="43" l="1"/>
  <c r="H60" i="43"/>
  <c r="Y58" i="46"/>
  <c r="Q56" i="46"/>
  <c r="B86" i="45"/>
  <c r="K23" i="44"/>
  <c r="K37" i="44"/>
  <c r="K40" i="44" s="1"/>
  <c r="B84" i="44"/>
  <c r="C83" i="44"/>
  <c r="G61" i="43"/>
  <c r="H80" i="43"/>
  <c r="K10" i="43"/>
  <c r="R10" i="43" s="1"/>
  <c r="H29" i="43"/>
  <c r="C29" i="43" s="1"/>
  <c r="K26" i="43"/>
  <c r="R26" i="43" s="1"/>
  <c r="K17" i="43"/>
  <c r="R17" i="43" s="1"/>
  <c r="C38" i="43"/>
  <c r="C37" i="43"/>
  <c r="B61" i="43"/>
  <c r="H61" i="43" s="1"/>
  <c r="H47" i="43"/>
  <c r="G71" i="43"/>
  <c r="K38" i="43"/>
  <c r="R38" i="43" s="1"/>
  <c r="K92" i="43"/>
  <c r="K93" i="43" s="1"/>
  <c r="K15" i="43"/>
  <c r="K48" i="43"/>
  <c r="R48" i="43" s="1"/>
  <c r="F71" i="43"/>
  <c r="K7" i="43"/>
  <c r="R43" i="43"/>
  <c r="K52" i="43"/>
  <c r="R52" i="43" s="1"/>
  <c r="H65" i="43"/>
  <c r="H66" i="43"/>
  <c r="K18" i="43" s="1"/>
  <c r="H70" i="43"/>
  <c r="K20" i="43"/>
  <c r="B48" i="43"/>
  <c r="H51" i="43"/>
  <c r="K12" i="43" s="1"/>
  <c r="R12" i="43" s="1"/>
  <c r="H32" i="43" l="1"/>
  <c r="C32" i="43" s="1"/>
  <c r="K58" i="44"/>
  <c r="Y58" i="44" s="1"/>
  <c r="R40" i="43"/>
  <c r="R56" i="43"/>
  <c r="C47" i="43"/>
  <c r="K56" i="43"/>
  <c r="H71" i="43"/>
  <c r="K19" i="43"/>
  <c r="R19" i="43" s="1"/>
  <c r="R7" i="43"/>
  <c r="B74" i="43"/>
  <c r="K40" i="43"/>
  <c r="B71" i="42"/>
  <c r="O58" i="42"/>
  <c r="K88" i="42"/>
  <c r="K49" i="42" s="1"/>
  <c r="K83" i="42"/>
  <c r="K34" i="42" s="1"/>
  <c r="G80" i="42"/>
  <c r="B80" i="42"/>
  <c r="H81" i="42" s="1"/>
  <c r="K76" i="42"/>
  <c r="B67" i="42"/>
  <c r="G65" i="42"/>
  <c r="G66" i="42" s="1"/>
  <c r="F65" i="42"/>
  <c r="F70" i="42" s="1"/>
  <c r="G61" i="42"/>
  <c r="F61" i="42"/>
  <c r="B61" i="42"/>
  <c r="H61" i="42" s="1"/>
  <c r="G60" i="42"/>
  <c r="F60" i="42"/>
  <c r="B60" i="42"/>
  <c r="F59" i="42"/>
  <c r="K52" i="42" s="1"/>
  <c r="B58" i="42"/>
  <c r="H58" i="42" s="1"/>
  <c r="H57" i="42"/>
  <c r="W56" i="42"/>
  <c r="U56" i="42"/>
  <c r="S56" i="42"/>
  <c r="H56" i="42"/>
  <c r="K14" i="42" s="1"/>
  <c r="K55" i="42"/>
  <c r="K53" i="42"/>
  <c r="G53" i="42"/>
  <c r="F53" i="42"/>
  <c r="B53" i="42"/>
  <c r="H52" i="42"/>
  <c r="G52" i="42"/>
  <c r="G62" i="42" s="1"/>
  <c r="F52" i="42"/>
  <c r="F62" i="42" s="1"/>
  <c r="B52" i="42"/>
  <c r="K51" i="42"/>
  <c r="K50" i="42"/>
  <c r="G48" i="42"/>
  <c r="F48" i="42"/>
  <c r="B48" i="42"/>
  <c r="H47" i="42"/>
  <c r="C47" i="42"/>
  <c r="K46" i="42"/>
  <c r="H46" i="42"/>
  <c r="C46" i="42" s="1"/>
  <c r="H45" i="42"/>
  <c r="C45" i="42" s="1"/>
  <c r="K44" i="42"/>
  <c r="H44" i="42"/>
  <c r="K43" i="42"/>
  <c r="H43" i="42"/>
  <c r="C43" i="42" s="1"/>
  <c r="B41" i="42"/>
  <c r="H41" i="42" s="1"/>
  <c r="C41" i="42" s="1"/>
  <c r="B40" i="42"/>
  <c r="H40" i="42" s="1"/>
  <c r="C40" i="42" s="1"/>
  <c r="K39" i="42"/>
  <c r="B39" i="42"/>
  <c r="H39" i="42" s="1"/>
  <c r="C39" i="42" s="1"/>
  <c r="B38" i="42"/>
  <c r="H38" i="42" s="1"/>
  <c r="K36" i="42"/>
  <c r="K35" i="42"/>
  <c r="G33" i="42"/>
  <c r="F33" i="42"/>
  <c r="B33" i="42"/>
  <c r="K32" i="42"/>
  <c r="H32" i="42"/>
  <c r="C32" i="42" s="1"/>
  <c r="H31" i="42"/>
  <c r="K20" i="42" s="1"/>
  <c r="K30" i="42"/>
  <c r="H30" i="42"/>
  <c r="K21" i="42" s="1"/>
  <c r="K29" i="42"/>
  <c r="H29" i="42"/>
  <c r="K28" i="42"/>
  <c r="H28" i="42"/>
  <c r="K27" i="42"/>
  <c r="H27" i="42"/>
  <c r="K26" i="42"/>
  <c r="H26" i="42"/>
  <c r="H25" i="42"/>
  <c r="H24" i="42"/>
  <c r="H23" i="42"/>
  <c r="H22" i="42"/>
  <c r="H21" i="42"/>
  <c r="H20" i="42"/>
  <c r="H19" i="42"/>
  <c r="H18" i="42"/>
  <c r="H17" i="42"/>
  <c r="K16" i="42" s="1"/>
  <c r="H16" i="42"/>
  <c r="V15" i="42"/>
  <c r="U15" i="42"/>
  <c r="T15" i="42"/>
  <c r="S15" i="42"/>
  <c r="R15" i="42"/>
  <c r="Q15" i="42"/>
  <c r="P15" i="42"/>
  <c r="H15" i="42"/>
  <c r="H14" i="42"/>
  <c r="V13" i="42"/>
  <c r="U13" i="42"/>
  <c r="T13" i="42"/>
  <c r="S13" i="42"/>
  <c r="S16" i="42" s="1"/>
  <c r="R13" i="42"/>
  <c r="Q13" i="42"/>
  <c r="P13" i="42"/>
  <c r="H13" i="42"/>
  <c r="H12" i="42"/>
  <c r="V11" i="42"/>
  <c r="V16" i="42" s="1"/>
  <c r="U11" i="42"/>
  <c r="T11" i="42"/>
  <c r="T16" i="42" s="1"/>
  <c r="S11" i="42"/>
  <c r="R11" i="42"/>
  <c r="R16" i="42" s="1"/>
  <c r="Q11" i="42"/>
  <c r="P11" i="42"/>
  <c r="H11" i="42"/>
  <c r="K15" i="42" s="1"/>
  <c r="H10" i="42"/>
  <c r="K11" i="42" s="1"/>
  <c r="H9" i="42"/>
  <c r="K9" i="42" s="1"/>
  <c r="X8" i="42"/>
  <c r="W8" i="42"/>
  <c r="P8" i="42"/>
  <c r="H8" i="42"/>
  <c r="X7" i="42"/>
  <c r="W7" i="42"/>
  <c r="P7" i="42"/>
  <c r="H7" i="42"/>
  <c r="K7" i="42" s="1"/>
  <c r="V6" i="42"/>
  <c r="U6" i="42"/>
  <c r="T6" i="42"/>
  <c r="S6" i="42"/>
  <c r="R6" i="42"/>
  <c r="Q6" i="42"/>
  <c r="K66" i="41"/>
  <c r="K36" i="41"/>
  <c r="B70" i="41"/>
  <c r="W6" i="42" l="1"/>
  <c r="W15" i="42"/>
  <c r="Q16" i="42"/>
  <c r="U16" i="42"/>
  <c r="X11" i="42"/>
  <c r="X16" i="42" s="1"/>
  <c r="W13" i="42"/>
  <c r="K23" i="43"/>
  <c r="X13" i="42"/>
  <c r="X15" i="42"/>
  <c r="Q56" i="44"/>
  <c r="K58" i="43"/>
  <c r="O58" i="43" s="1"/>
  <c r="C82" i="43"/>
  <c r="B83" i="43"/>
  <c r="R23" i="43"/>
  <c r="K10" i="42"/>
  <c r="B49" i="42"/>
  <c r="C44" i="42"/>
  <c r="K17" i="42"/>
  <c r="H60" i="42"/>
  <c r="G70" i="42"/>
  <c r="G59" i="42" s="1"/>
  <c r="K31" i="42" s="1"/>
  <c r="H33" i="42"/>
  <c r="C33" i="42" s="1"/>
  <c r="H48" i="42"/>
  <c r="H53" i="42"/>
  <c r="F66" i="42"/>
  <c r="F67" i="42" s="1"/>
  <c r="K47" i="42" s="1"/>
  <c r="H65" i="42"/>
  <c r="D65" i="42" s="1"/>
  <c r="B54" i="42"/>
  <c r="B62" i="42" s="1"/>
  <c r="H62" i="42" s="1"/>
  <c r="F71" i="42"/>
  <c r="F72" i="42" s="1"/>
  <c r="K48" i="42" s="1"/>
  <c r="G67" i="42"/>
  <c r="K8" i="42"/>
  <c r="X6" i="42"/>
  <c r="W11" i="42"/>
  <c r="W16" i="42" s="1"/>
  <c r="B72" i="42"/>
  <c r="B75" i="42" s="1"/>
  <c r="C38" i="42"/>
  <c r="G29" i="41"/>
  <c r="K26" i="41" s="1"/>
  <c r="R26" i="41" s="1"/>
  <c r="F29" i="41"/>
  <c r="H29" i="41" s="1"/>
  <c r="C29" i="41" s="1"/>
  <c r="N58" i="41"/>
  <c r="K90" i="41"/>
  <c r="K84" i="41"/>
  <c r="K34" i="41" s="1"/>
  <c r="B79" i="41"/>
  <c r="G77" i="41"/>
  <c r="G79" i="41" s="1"/>
  <c r="G81" i="41" s="1"/>
  <c r="F70" i="41"/>
  <c r="H69" i="41"/>
  <c r="G69" i="41"/>
  <c r="G70" i="41" s="1"/>
  <c r="F69" i="41"/>
  <c r="K74" i="41"/>
  <c r="B66" i="41"/>
  <c r="B81" i="41" s="1"/>
  <c r="B82" i="41" s="1"/>
  <c r="G65" i="41"/>
  <c r="H65" i="41" s="1"/>
  <c r="F65" i="41"/>
  <c r="F66" i="41" s="1"/>
  <c r="K47" i="41" s="1"/>
  <c r="D64" i="41"/>
  <c r="G60" i="41"/>
  <c r="F60" i="41"/>
  <c r="B60" i="41"/>
  <c r="M59" i="41"/>
  <c r="L59" i="41"/>
  <c r="G59" i="41"/>
  <c r="F59" i="41"/>
  <c r="B59" i="41"/>
  <c r="G58" i="41"/>
  <c r="F58" i="41"/>
  <c r="H58" i="41" s="1"/>
  <c r="B57" i="41"/>
  <c r="H57" i="41" s="1"/>
  <c r="H56" i="41"/>
  <c r="K55" i="41"/>
  <c r="H55" i="41"/>
  <c r="K54" i="41"/>
  <c r="K53" i="41"/>
  <c r="R53" i="41" s="1"/>
  <c r="G52" i="41"/>
  <c r="F52" i="41"/>
  <c r="B52" i="41"/>
  <c r="K51" i="41"/>
  <c r="G51" i="41"/>
  <c r="G61" i="41" s="1"/>
  <c r="F51" i="41"/>
  <c r="F61" i="41" s="1"/>
  <c r="B51" i="41"/>
  <c r="B53" i="41" s="1"/>
  <c r="K50" i="41"/>
  <c r="R50" i="41" s="1"/>
  <c r="K49" i="41"/>
  <c r="G47" i="41"/>
  <c r="F47" i="41"/>
  <c r="B47" i="41"/>
  <c r="K46" i="41"/>
  <c r="R46" i="41" s="1"/>
  <c r="H46" i="41"/>
  <c r="C46" i="41" s="1"/>
  <c r="K45" i="41"/>
  <c r="H45" i="41"/>
  <c r="C45" i="41" s="1"/>
  <c r="K44" i="41"/>
  <c r="H44" i="41"/>
  <c r="C44" i="41" s="1"/>
  <c r="H43" i="41"/>
  <c r="C43" i="41" s="1"/>
  <c r="H42" i="41"/>
  <c r="C42" i="41" s="1"/>
  <c r="B40" i="41"/>
  <c r="H40" i="41" s="1"/>
  <c r="C40" i="41" s="1"/>
  <c r="K39" i="41"/>
  <c r="B39" i="41"/>
  <c r="H39" i="41" s="1"/>
  <c r="C39" i="41" s="1"/>
  <c r="B38" i="41"/>
  <c r="H38" i="41" s="1"/>
  <c r="B37" i="41"/>
  <c r="H37" i="41" s="1"/>
  <c r="R36" i="41"/>
  <c r="K35" i="41"/>
  <c r="R35" i="41" s="1"/>
  <c r="K33" i="41"/>
  <c r="K32" i="41"/>
  <c r="R32" i="41" s="1"/>
  <c r="G32" i="41"/>
  <c r="B32" i="41"/>
  <c r="K31" i="41"/>
  <c r="R31" i="41" s="1"/>
  <c r="H31" i="41"/>
  <c r="C31" i="41"/>
  <c r="H30" i="41"/>
  <c r="C30" i="41" s="1"/>
  <c r="K29" i="41"/>
  <c r="R29" i="41" s="1"/>
  <c r="K28" i="41"/>
  <c r="H28" i="41"/>
  <c r="C28" i="41" s="1"/>
  <c r="K27" i="41"/>
  <c r="H27" i="41"/>
  <c r="C27" i="41" s="1"/>
  <c r="H26" i="41"/>
  <c r="C26" i="41" s="1"/>
  <c r="H25" i="41"/>
  <c r="C25" i="41" s="1"/>
  <c r="H24" i="41"/>
  <c r="C24" i="41" s="1"/>
  <c r="H23" i="41"/>
  <c r="C23" i="41" s="1"/>
  <c r="H22" i="41"/>
  <c r="C22" i="41" s="1"/>
  <c r="H21" i="41"/>
  <c r="C21" i="41" s="1"/>
  <c r="H20" i="41"/>
  <c r="C20" i="41" s="1"/>
  <c r="H19" i="41"/>
  <c r="C19" i="41" s="1"/>
  <c r="H18" i="41"/>
  <c r="C18" i="41" s="1"/>
  <c r="H17" i="41"/>
  <c r="C17" i="41" s="1"/>
  <c r="H16" i="41"/>
  <c r="C16" i="41" s="1"/>
  <c r="H15" i="41"/>
  <c r="C15" i="41" s="1"/>
  <c r="H14" i="41"/>
  <c r="C14" i="41" s="1"/>
  <c r="K13" i="41"/>
  <c r="R13" i="41" s="1"/>
  <c r="H13" i="41"/>
  <c r="C13" i="41" s="1"/>
  <c r="H12" i="41"/>
  <c r="C12" i="41" s="1"/>
  <c r="H11" i="41"/>
  <c r="C11" i="41" s="1"/>
  <c r="H10" i="41"/>
  <c r="H9" i="41"/>
  <c r="K9" i="41" s="1"/>
  <c r="H8" i="41"/>
  <c r="K8" i="41" s="1"/>
  <c r="H7" i="41"/>
  <c r="C7" i="41" s="1"/>
  <c r="K43" i="41" l="1"/>
  <c r="R43" i="41" s="1"/>
  <c r="H59" i="41"/>
  <c r="B86" i="43"/>
  <c r="K56" i="42"/>
  <c r="H66" i="42"/>
  <c r="C48" i="42"/>
  <c r="H70" i="42"/>
  <c r="H71" i="42" s="1"/>
  <c r="H72" i="42" s="1"/>
  <c r="K19" i="42" s="1"/>
  <c r="G71" i="42"/>
  <c r="G72" i="42" s="1"/>
  <c r="K38" i="42" s="1"/>
  <c r="H59" i="42"/>
  <c r="K12" i="42" s="1"/>
  <c r="B82" i="42"/>
  <c r="B83" i="42" s="1"/>
  <c r="B84" i="42" s="1"/>
  <c r="H67" i="42"/>
  <c r="K18" i="42" s="1"/>
  <c r="K37" i="42"/>
  <c r="K40" i="42" s="1"/>
  <c r="K7" i="41"/>
  <c r="F32" i="41"/>
  <c r="H60" i="41"/>
  <c r="B61" i="41"/>
  <c r="H61" i="41" s="1"/>
  <c r="K10" i="41"/>
  <c r="R10" i="41" s="1"/>
  <c r="H47" i="41"/>
  <c r="C37" i="41"/>
  <c r="C38" i="41"/>
  <c r="K16" i="41"/>
  <c r="R16" i="41" s="1"/>
  <c r="H52" i="41"/>
  <c r="K92" i="41"/>
  <c r="K93" i="41" s="1"/>
  <c r="K15" i="41"/>
  <c r="G71" i="41"/>
  <c r="K38" i="41"/>
  <c r="R38" i="41" s="1"/>
  <c r="R40" i="41" s="1"/>
  <c r="H80" i="41"/>
  <c r="F71" i="41"/>
  <c r="K48" i="41"/>
  <c r="R48" i="41" s="1"/>
  <c r="K52" i="41"/>
  <c r="R52" i="41" s="1"/>
  <c r="G66" i="41"/>
  <c r="K37" i="41" s="1"/>
  <c r="K40" i="41" s="1"/>
  <c r="B48" i="41"/>
  <c r="H70" i="41"/>
  <c r="H32" i="41"/>
  <c r="K20" i="41"/>
  <c r="H51" i="41"/>
  <c r="K12" i="41" s="1"/>
  <c r="R12" i="41" s="1"/>
  <c r="K17" i="41"/>
  <c r="R17" i="41" s="1"/>
  <c r="B7" i="40"/>
  <c r="B70" i="40"/>
  <c r="G32" i="40"/>
  <c r="F32" i="40"/>
  <c r="K66" i="40"/>
  <c r="K62" i="40"/>
  <c r="H66" i="41" l="1"/>
  <c r="K18" i="41" s="1"/>
  <c r="K23" i="42"/>
  <c r="K58" i="42" s="1"/>
  <c r="C83" i="42"/>
  <c r="K56" i="41"/>
  <c r="C32" i="41"/>
  <c r="R56" i="41"/>
  <c r="C47" i="41"/>
  <c r="B74" i="41"/>
  <c r="C82" i="41" s="1"/>
  <c r="K19" i="41"/>
  <c r="R19" i="41" s="1"/>
  <c r="H71" i="41"/>
  <c r="R7" i="41"/>
  <c r="N58" i="40"/>
  <c r="K90" i="40"/>
  <c r="K49" i="40" s="1"/>
  <c r="K84" i="40"/>
  <c r="K34" i="40" s="1"/>
  <c r="B79" i="40"/>
  <c r="H80" i="40" s="1"/>
  <c r="G77" i="40"/>
  <c r="G79" i="40" s="1"/>
  <c r="G81" i="40" s="1"/>
  <c r="H70" i="40"/>
  <c r="H69" i="40"/>
  <c r="G69" i="40"/>
  <c r="G70" i="40" s="1"/>
  <c r="F69" i="40"/>
  <c r="F70" i="40" s="1"/>
  <c r="G66" i="40"/>
  <c r="K37" i="40" s="1"/>
  <c r="B66" i="40"/>
  <c r="G65" i="40"/>
  <c r="F65" i="40"/>
  <c r="D64" i="40"/>
  <c r="K74" i="40"/>
  <c r="G60" i="40"/>
  <c r="F60" i="40"/>
  <c r="B60" i="40"/>
  <c r="M59" i="40"/>
  <c r="L59" i="40"/>
  <c r="G59" i="40"/>
  <c r="F59" i="40"/>
  <c r="B59" i="40"/>
  <c r="G58" i="40"/>
  <c r="F58" i="40"/>
  <c r="B57" i="40"/>
  <c r="H57" i="40" s="1"/>
  <c r="H56" i="40"/>
  <c r="K55" i="40"/>
  <c r="H55" i="40"/>
  <c r="K13" i="40" s="1"/>
  <c r="R13" i="40" s="1"/>
  <c r="K54" i="40"/>
  <c r="K53" i="40"/>
  <c r="R53" i="40" s="1"/>
  <c r="B53" i="40"/>
  <c r="G52" i="40"/>
  <c r="F52" i="40"/>
  <c r="B52" i="40"/>
  <c r="K51" i="40"/>
  <c r="G51" i="40"/>
  <c r="G61" i="40" s="1"/>
  <c r="F51" i="40"/>
  <c r="B51" i="40"/>
  <c r="K50" i="40"/>
  <c r="R50" i="40" s="1"/>
  <c r="G47" i="40"/>
  <c r="F47" i="40"/>
  <c r="B47" i="40"/>
  <c r="K46" i="40"/>
  <c r="R46" i="40" s="1"/>
  <c r="H46" i="40"/>
  <c r="C46" i="40" s="1"/>
  <c r="K45" i="40"/>
  <c r="H45" i="40"/>
  <c r="C45" i="40" s="1"/>
  <c r="K44" i="40"/>
  <c r="H44" i="40"/>
  <c r="C44" i="40" s="1"/>
  <c r="K43" i="40"/>
  <c r="H43" i="40"/>
  <c r="C43" i="40" s="1"/>
  <c r="H42" i="40"/>
  <c r="C42" i="40" s="1"/>
  <c r="B40" i="40"/>
  <c r="K39" i="40"/>
  <c r="B39" i="40"/>
  <c r="B38" i="40"/>
  <c r="B37" i="40"/>
  <c r="H37" i="40" s="1"/>
  <c r="K36" i="40"/>
  <c r="R36" i="40" s="1"/>
  <c r="R35" i="40"/>
  <c r="K35" i="40"/>
  <c r="K33" i="40"/>
  <c r="K32" i="40"/>
  <c r="R32" i="40" s="1"/>
  <c r="B32" i="40"/>
  <c r="H31" i="40"/>
  <c r="C31" i="40"/>
  <c r="H30" i="40"/>
  <c r="C30" i="40" s="1"/>
  <c r="K29" i="40"/>
  <c r="R29" i="40" s="1"/>
  <c r="H29" i="40"/>
  <c r="C29" i="40" s="1"/>
  <c r="K28" i="40"/>
  <c r="H28" i="40"/>
  <c r="C28" i="40" s="1"/>
  <c r="K27" i="40"/>
  <c r="H27" i="40"/>
  <c r="C27" i="40" s="1"/>
  <c r="K26" i="40"/>
  <c r="R26" i="40" s="1"/>
  <c r="H26" i="40"/>
  <c r="C26" i="40"/>
  <c r="H25" i="40"/>
  <c r="C25" i="40" s="1"/>
  <c r="H24" i="40"/>
  <c r="C24" i="40" s="1"/>
  <c r="H23" i="40"/>
  <c r="C23" i="40" s="1"/>
  <c r="H22" i="40"/>
  <c r="C22" i="40" s="1"/>
  <c r="H21" i="40"/>
  <c r="C21" i="40" s="1"/>
  <c r="H20" i="40"/>
  <c r="C20" i="40" s="1"/>
  <c r="H19" i="40"/>
  <c r="C19" i="40" s="1"/>
  <c r="H18" i="40"/>
  <c r="C18" i="40" s="1"/>
  <c r="H17" i="40"/>
  <c r="C17" i="40" s="1"/>
  <c r="H16" i="40"/>
  <c r="C16" i="40" s="1"/>
  <c r="H15" i="40"/>
  <c r="C15" i="40" s="1"/>
  <c r="H14" i="40"/>
  <c r="C14" i="40"/>
  <c r="H13" i="40"/>
  <c r="C13" i="40" s="1"/>
  <c r="H12" i="40"/>
  <c r="C12" i="40" s="1"/>
  <c r="H11" i="40"/>
  <c r="C11" i="40" s="1"/>
  <c r="H10" i="40"/>
  <c r="H9" i="40"/>
  <c r="K9" i="40" s="1"/>
  <c r="H8" i="40"/>
  <c r="K8" i="40" s="1"/>
  <c r="H7" i="40"/>
  <c r="C7" i="40" s="1"/>
  <c r="H65" i="40" l="1"/>
  <c r="Q56" i="42"/>
  <c r="Y58" i="42"/>
  <c r="B83" i="41"/>
  <c r="R23" i="41"/>
  <c r="K23" i="41"/>
  <c r="K58" i="41" s="1"/>
  <c r="O58" i="41" s="1"/>
  <c r="K52" i="40"/>
  <c r="R52" i="40" s="1"/>
  <c r="K31" i="40"/>
  <c r="R31" i="40" s="1"/>
  <c r="H51" i="40"/>
  <c r="K16" i="40"/>
  <c r="R16" i="40" s="1"/>
  <c r="B61" i="40"/>
  <c r="H61" i="40" s="1"/>
  <c r="H59" i="40"/>
  <c r="F61" i="40"/>
  <c r="K17" i="40"/>
  <c r="R17" i="40" s="1"/>
  <c r="H60" i="40"/>
  <c r="K10" i="40"/>
  <c r="R10" i="40" s="1"/>
  <c r="C37" i="40"/>
  <c r="H38" i="40"/>
  <c r="C38" i="40" s="1"/>
  <c r="H52" i="40"/>
  <c r="H58" i="40"/>
  <c r="B48" i="40"/>
  <c r="K19" i="40"/>
  <c r="R19" i="40" s="1"/>
  <c r="H71" i="40"/>
  <c r="K92" i="40"/>
  <c r="K93" i="40" s="1"/>
  <c r="K15" i="40"/>
  <c r="F71" i="40"/>
  <c r="K48" i="40"/>
  <c r="R48" i="40" s="1"/>
  <c r="G71" i="40"/>
  <c r="K38" i="40"/>
  <c r="R38" i="40" s="1"/>
  <c r="K21" i="40"/>
  <c r="H39" i="40"/>
  <c r="C39" i="40" s="1"/>
  <c r="H40" i="40"/>
  <c r="C40" i="40" s="1"/>
  <c r="R43" i="40"/>
  <c r="F66" i="40"/>
  <c r="K47" i="40" s="1"/>
  <c r="B81" i="40"/>
  <c r="B82" i="40" s="1"/>
  <c r="K7" i="40"/>
  <c r="H32" i="40"/>
  <c r="C32" i="40" s="1"/>
  <c r="K20" i="40"/>
  <c r="B71" i="39"/>
  <c r="O58" i="39"/>
  <c r="K88" i="39"/>
  <c r="K49" i="39" s="1"/>
  <c r="K83" i="39"/>
  <c r="G80" i="39"/>
  <c r="B80" i="39"/>
  <c r="K76" i="39"/>
  <c r="B67" i="39"/>
  <c r="G61" i="39"/>
  <c r="F61" i="39"/>
  <c r="B61" i="39"/>
  <c r="H61" i="39" s="1"/>
  <c r="G60" i="39"/>
  <c r="F60" i="39"/>
  <c r="B60" i="39"/>
  <c r="B58" i="39"/>
  <c r="H58" i="39" s="1"/>
  <c r="H57" i="39"/>
  <c r="W56" i="39"/>
  <c r="U56" i="39"/>
  <c r="S56" i="39"/>
  <c r="H56" i="39"/>
  <c r="K14" i="39" s="1"/>
  <c r="K55" i="39"/>
  <c r="K53" i="39"/>
  <c r="G53" i="39"/>
  <c r="F53" i="39"/>
  <c r="B53" i="39"/>
  <c r="G52" i="39"/>
  <c r="F52" i="39"/>
  <c r="F62" i="39" s="1"/>
  <c r="B52" i="39"/>
  <c r="K51" i="39"/>
  <c r="K50" i="39"/>
  <c r="G48" i="39"/>
  <c r="F48" i="39"/>
  <c r="B48" i="39"/>
  <c r="H47" i="39"/>
  <c r="C47" i="39"/>
  <c r="K46" i="39"/>
  <c r="H46" i="39"/>
  <c r="C46" i="39" s="1"/>
  <c r="H45" i="39"/>
  <c r="C45" i="39" s="1"/>
  <c r="K44" i="39"/>
  <c r="H44" i="39"/>
  <c r="H43" i="39"/>
  <c r="C43" i="39" s="1"/>
  <c r="B41" i="39"/>
  <c r="B40" i="39"/>
  <c r="H40" i="39" s="1"/>
  <c r="K39" i="39"/>
  <c r="B39" i="39"/>
  <c r="B38" i="39"/>
  <c r="K36" i="39"/>
  <c r="K35" i="39"/>
  <c r="K34" i="39"/>
  <c r="G33" i="39"/>
  <c r="K32" i="39"/>
  <c r="H32" i="39"/>
  <c r="C32" i="39"/>
  <c r="H31" i="39"/>
  <c r="K20" i="39" s="1"/>
  <c r="K30" i="39"/>
  <c r="H30" i="39"/>
  <c r="K29" i="39"/>
  <c r="H29" i="39"/>
  <c r="K28" i="39"/>
  <c r="H28" i="39"/>
  <c r="K27" i="39"/>
  <c r="H27" i="39"/>
  <c r="H26" i="39"/>
  <c r="H25" i="39"/>
  <c r="H24" i="39"/>
  <c r="H23" i="39"/>
  <c r="H22" i="39"/>
  <c r="K21" i="39"/>
  <c r="H21" i="39"/>
  <c r="H20" i="39"/>
  <c r="H19" i="39"/>
  <c r="H18" i="39"/>
  <c r="H17" i="39"/>
  <c r="K16" i="39" s="1"/>
  <c r="H16" i="39"/>
  <c r="V15" i="39"/>
  <c r="U15" i="39"/>
  <c r="T15" i="39"/>
  <c r="T16" i="39" s="1"/>
  <c r="S15" i="39"/>
  <c r="R15" i="39"/>
  <c r="Q15" i="39"/>
  <c r="P15" i="39"/>
  <c r="H15" i="39"/>
  <c r="H14" i="39"/>
  <c r="V13" i="39"/>
  <c r="U13" i="39"/>
  <c r="T13" i="39"/>
  <c r="S13" i="39"/>
  <c r="R13" i="39"/>
  <c r="Q13" i="39"/>
  <c r="P13" i="39"/>
  <c r="H13" i="39"/>
  <c r="H12" i="39"/>
  <c r="V11" i="39"/>
  <c r="X11" i="39" s="1"/>
  <c r="U11" i="39"/>
  <c r="T11" i="39"/>
  <c r="S11" i="39"/>
  <c r="R11" i="39"/>
  <c r="R16" i="39" s="1"/>
  <c r="Q11" i="39"/>
  <c r="P11" i="39"/>
  <c r="H11" i="39"/>
  <c r="H10" i="39"/>
  <c r="K11" i="39" s="1"/>
  <c r="H9" i="39"/>
  <c r="K9" i="39" s="1"/>
  <c r="X8" i="39"/>
  <c r="W8" i="39"/>
  <c r="P8" i="39"/>
  <c r="H8" i="39"/>
  <c r="K8" i="39" s="1"/>
  <c r="X7" i="39"/>
  <c r="W7" i="39"/>
  <c r="P7" i="39"/>
  <c r="K26" i="39"/>
  <c r="K43" i="39"/>
  <c r="H7" i="39"/>
  <c r="V6" i="39"/>
  <c r="U6" i="39"/>
  <c r="T6" i="39"/>
  <c r="S6" i="39"/>
  <c r="R6" i="39"/>
  <c r="Q6" i="39"/>
  <c r="K66" i="38"/>
  <c r="K62" i="38"/>
  <c r="H20" i="38"/>
  <c r="B70" i="38"/>
  <c r="X6" i="39" l="1"/>
  <c r="Q16" i="39"/>
  <c r="U16" i="39"/>
  <c r="B54" i="39"/>
  <c r="B62" i="39" s="1"/>
  <c r="H62" i="39" s="1"/>
  <c r="W13" i="39"/>
  <c r="K15" i="39"/>
  <c r="S16" i="39"/>
  <c r="X13" i="39"/>
  <c r="W15" i="39"/>
  <c r="V16" i="39"/>
  <c r="H52" i="39"/>
  <c r="H60" i="39"/>
  <c r="H81" i="39"/>
  <c r="K12" i="40"/>
  <c r="R12" i="40" s="1"/>
  <c r="B86" i="41"/>
  <c r="R56" i="40"/>
  <c r="R40" i="40"/>
  <c r="B74" i="40"/>
  <c r="B83" i="40" s="1"/>
  <c r="H47" i="40"/>
  <c r="C47" i="40" s="1"/>
  <c r="R7" i="40"/>
  <c r="R23" i="40" s="1"/>
  <c r="K56" i="40"/>
  <c r="H66" i="40"/>
  <c r="K18" i="40" s="1"/>
  <c r="K23" i="40" s="1"/>
  <c r="K40" i="40"/>
  <c r="K10" i="39"/>
  <c r="C44" i="39"/>
  <c r="K17" i="39"/>
  <c r="G62" i="39"/>
  <c r="H53" i="39"/>
  <c r="H39" i="39"/>
  <c r="C39" i="39" s="1"/>
  <c r="H41" i="39"/>
  <c r="C41" i="39" s="1"/>
  <c r="H38" i="39"/>
  <c r="C40" i="39"/>
  <c r="H65" i="39"/>
  <c r="K7" i="39"/>
  <c r="H33" i="39"/>
  <c r="B33" i="39"/>
  <c r="B49" i="39"/>
  <c r="F65" i="39"/>
  <c r="X15" i="39"/>
  <c r="X16" i="39" s="1"/>
  <c r="W11" i="39"/>
  <c r="W16" i="39" s="1"/>
  <c r="G65" i="39"/>
  <c r="B72" i="39"/>
  <c r="W6" i="39"/>
  <c r="F33" i="39"/>
  <c r="N58" i="38"/>
  <c r="K90" i="38"/>
  <c r="K49" i="38" s="1"/>
  <c r="K84" i="38"/>
  <c r="K34" i="38" s="1"/>
  <c r="R81" i="38"/>
  <c r="R80" i="38"/>
  <c r="R79" i="38"/>
  <c r="B79" i="38"/>
  <c r="R78" i="38"/>
  <c r="R77" i="38"/>
  <c r="G77" i="38"/>
  <c r="G79" i="38" s="1"/>
  <c r="G81" i="38" s="1"/>
  <c r="R76" i="38"/>
  <c r="R75" i="38"/>
  <c r="H69" i="38"/>
  <c r="G69" i="38"/>
  <c r="G70" i="38" s="1"/>
  <c r="F69" i="38"/>
  <c r="F70" i="38" s="1"/>
  <c r="R67" i="38"/>
  <c r="R66" i="38"/>
  <c r="B66" i="38"/>
  <c r="R65" i="38"/>
  <c r="G65" i="38"/>
  <c r="G66" i="38" s="1"/>
  <c r="K37" i="38" s="1"/>
  <c r="F65" i="38"/>
  <c r="R64" i="38"/>
  <c r="D64" i="38"/>
  <c r="R63" i="38"/>
  <c r="R62" i="38"/>
  <c r="K74" i="38"/>
  <c r="K92" i="38" s="1"/>
  <c r="K93" i="38" s="1"/>
  <c r="R61" i="38"/>
  <c r="G61" i="38"/>
  <c r="G60" i="38"/>
  <c r="F60" i="38"/>
  <c r="B60" i="38"/>
  <c r="M59" i="38"/>
  <c r="L59" i="38"/>
  <c r="G59" i="38"/>
  <c r="F59" i="38"/>
  <c r="B59" i="38"/>
  <c r="G58" i="38"/>
  <c r="F58" i="38"/>
  <c r="H58" i="38" s="1"/>
  <c r="B57" i="38"/>
  <c r="H57" i="38" s="1"/>
  <c r="H56" i="38"/>
  <c r="K55" i="38"/>
  <c r="H55" i="38"/>
  <c r="K13" i="38" s="1"/>
  <c r="R13" i="38" s="1"/>
  <c r="K54" i="38"/>
  <c r="K53" i="38"/>
  <c r="R53" i="38" s="1"/>
  <c r="G52" i="38"/>
  <c r="F52" i="38"/>
  <c r="B52" i="38"/>
  <c r="K51" i="38"/>
  <c r="G51" i="38"/>
  <c r="F51" i="38"/>
  <c r="F61" i="38" s="1"/>
  <c r="B51" i="38"/>
  <c r="B53" i="38" s="1"/>
  <c r="K50" i="38"/>
  <c r="R50" i="38" s="1"/>
  <c r="G47" i="38"/>
  <c r="F47" i="38"/>
  <c r="B47" i="38"/>
  <c r="K46" i="38"/>
  <c r="R46" i="38" s="1"/>
  <c r="H46" i="38"/>
  <c r="C46" i="38" s="1"/>
  <c r="K45" i="38"/>
  <c r="H45" i="38"/>
  <c r="C45" i="38" s="1"/>
  <c r="K44" i="38"/>
  <c r="H44" i="38"/>
  <c r="C44" i="38" s="1"/>
  <c r="K43" i="38"/>
  <c r="H43" i="38"/>
  <c r="C43" i="38" s="1"/>
  <c r="H42" i="38"/>
  <c r="C42" i="38" s="1"/>
  <c r="B40" i="38"/>
  <c r="H40" i="38" s="1"/>
  <c r="C40" i="38" s="1"/>
  <c r="K39" i="38"/>
  <c r="B39" i="38"/>
  <c r="H39" i="38" s="1"/>
  <c r="C39" i="38" s="1"/>
  <c r="B38" i="38"/>
  <c r="B37" i="38"/>
  <c r="H37" i="38" s="1"/>
  <c r="K36" i="38"/>
  <c r="R36" i="38" s="1"/>
  <c r="K35" i="38"/>
  <c r="R35" i="38" s="1"/>
  <c r="K33" i="38"/>
  <c r="K32" i="38"/>
  <c r="R32" i="38" s="1"/>
  <c r="G32" i="38"/>
  <c r="F32" i="38"/>
  <c r="B32" i="38"/>
  <c r="H31" i="38"/>
  <c r="C31" i="38" s="1"/>
  <c r="H30" i="38"/>
  <c r="C30" i="38" s="1"/>
  <c r="K29" i="38"/>
  <c r="R29" i="38" s="1"/>
  <c r="H29" i="38"/>
  <c r="K21" i="38" s="1"/>
  <c r="C29" i="38"/>
  <c r="K28" i="38"/>
  <c r="H28" i="38"/>
  <c r="C28" i="38" s="1"/>
  <c r="K27" i="38"/>
  <c r="H27" i="38"/>
  <c r="K17" i="38" s="1"/>
  <c r="K26" i="38"/>
  <c r="R26" i="38" s="1"/>
  <c r="H26" i="38"/>
  <c r="C26" i="38" s="1"/>
  <c r="H25" i="38"/>
  <c r="C25" i="38" s="1"/>
  <c r="H24" i="38"/>
  <c r="C24" i="38" s="1"/>
  <c r="H23" i="38"/>
  <c r="C23" i="38" s="1"/>
  <c r="H22" i="38"/>
  <c r="C22" i="38"/>
  <c r="H21" i="38"/>
  <c r="C21" i="38" s="1"/>
  <c r="C20" i="38"/>
  <c r="H19" i="38"/>
  <c r="C19" i="38" s="1"/>
  <c r="H18" i="38"/>
  <c r="C18" i="38" s="1"/>
  <c r="H17" i="38"/>
  <c r="H16" i="38"/>
  <c r="K16" i="38" s="1"/>
  <c r="R16" i="38" s="1"/>
  <c r="H15" i="38"/>
  <c r="H14" i="38"/>
  <c r="C14" i="38" s="1"/>
  <c r="H13" i="38"/>
  <c r="C13" i="38" s="1"/>
  <c r="H12" i="38"/>
  <c r="C12" i="38" s="1"/>
  <c r="H11" i="38"/>
  <c r="C11" i="38" s="1"/>
  <c r="H10" i="38"/>
  <c r="H9" i="38"/>
  <c r="K9" i="38" s="1"/>
  <c r="H8" i="38"/>
  <c r="K8" i="38" s="1"/>
  <c r="H7" i="38"/>
  <c r="K7" i="38" s="1"/>
  <c r="G7" i="37"/>
  <c r="K26" i="37" s="1"/>
  <c r="F7" i="37"/>
  <c r="K43" i="37" s="1"/>
  <c r="B71" i="37"/>
  <c r="B7" i="37"/>
  <c r="G65" i="37" s="1"/>
  <c r="G66" i="37" s="1"/>
  <c r="O58" i="37"/>
  <c r="K88" i="37"/>
  <c r="K49" i="37" s="1"/>
  <c r="K83" i="37"/>
  <c r="G80" i="37"/>
  <c r="B80" i="37"/>
  <c r="K76" i="37"/>
  <c r="B72" i="37"/>
  <c r="B67" i="37"/>
  <c r="G61" i="37"/>
  <c r="F61" i="37"/>
  <c r="B61" i="37"/>
  <c r="G60" i="37"/>
  <c r="F60" i="37"/>
  <c r="B60" i="37"/>
  <c r="B58" i="37"/>
  <c r="H58" i="37" s="1"/>
  <c r="H57" i="37"/>
  <c r="W56" i="37"/>
  <c r="U56" i="37"/>
  <c r="S56" i="37"/>
  <c r="H56" i="37"/>
  <c r="K14" i="37" s="1"/>
  <c r="K55" i="37"/>
  <c r="K53" i="37"/>
  <c r="G53" i="37"/>
  <c r="F53" i="37"/>
  <c r="B53" i="37"/>
  <c r="G52" i="37"/>
  <c r="G62" i="37" s="1"/>
  <c r="F52" i="37"/>
  <c r="F62" i="37" s="1"/>
  <c r="B52" i="37"/>
  <c r="K51" i="37"/>
  <c r="K50" i="37"/>
  <c r="G48" i="37"/>
  <c r="F48" i="37"/>
  <c r="B48" i="37"/>
  <c r="H47" i="37"/>
  <c r="C47" i="37"/>
  <c r="K46" i="37"/>
  <c r="H46" i="37"/>
  <c r="C46" i="37" s="1"/>
  <c r="H45" i="37"/>
  <c r="C45" i="37"/>
  <c r="K44" i="37"/>
  <c r="H44" i="37"/>
  <c r="C44" i="37" s="1"/>
  <c r="H43" i="37"/>
  <c r="C43" i="37" s="1"/>
  <c r="B41" i="37"/>
  <c r="B40" i="37"/>
  <c r="K39" i="37"/>
  <c r="B39" i="37"/>
  <c r="B38" i="37"/>
  <c r="K36" i="37"/>
  <c r="K35" i="37"/>
  <c r="K34" i="37"/>
  <c r="G33" i="37"/>
  <c r="F33" i="37"/>
  <c r="K32" i="37"/>
  <c r="H32" i="37"/>
  <c r="C32" i="37" s="1"/>
  <c r="H31" i="37"/>
  <c r="K20" i="37" s="1"/>
  <c r="K30" i="37"/>
  <c r="H30" i="37"/>
  <c r="K21" i="37" s="1"/>
  <c r="K29" i="37"/>
  <c r="H29" i="37"/>
  <c r="K28" i="37"/>
  <c r="H28" i="37"/>
  <c r="K27" i="37"/>
  <c r="H27" i="37"/>
  <c r="H26" i="37"/>
  <c r="H25" i="37"/>
  <c r="H24" i="37"/>
  <c r="H23" i="37"/>
  <c r="H22" i="37"/>
  <c r="H21" i="37"/>
  <c r="H20" i="37"/>
  <c r="H19" i="37"/>
  <c r="H18" i="37"/>
  <c r="H17" i="37"/>
  <c r="K16" i="37" s="1"/>
  <c r="H16" i="37"/>
  <c r="V15" i="37"/>
  <c r="V16" i="37" s="1"/>
  <c r="U15" i="37"/>
  <c r="T15" i="37"/>
  <c r="S15" i="37"/>
  <c r="W15" i="37" s="1"/>
  <c r="R15" i="37"/>
  <c r="R16" i="37" s="1"/>
  <c r="Q15" i="37"/>
  <c r="P15" i="37"/>
  <c r="H15" i="37"/>
  <c r="H14" i="37"/>
  <c r="V13" i="37"/>
  <c r="U13" i="37"/>
  <c r="T13" i="37"/>
  <c r="X13" i="37" s="1"/>
  <c r="S13" i="37"/>
  <c r="W13" i="37" s="1"/>
  <c r="R13" i="37"/>
  <c r="Q13" i="37"/>
  <c r="P13" i="37"/>
  <c r="H13" i="37"/>
  <c r="H12" i="37"/>
  <c r="V11" i="37"/>
  <c r="U11" i="37"/>
  <c r="T11" i="37"/>
  <c r="X11" i="37" s="1"/>
  <c r="S11" i="37"/>
  <c r="R11" i="37"/>
  <c r="Q11" i="37"/>
  <c r="P11" i="37"/>
  <c r="H11" i="37"/>
  <c r="K15" i="37" s="1"/>
  <c r="H10" i="37"/>
  <c r="K11" i="37" s="1"/>
  <c r="H9" i="37"/>
  <c r="K9" i="37" s="1"/>
  <c r="X8" i="37"/>
  <c r="W8" i="37"/>
  <c r="P8" i="37"/>
  <c r="H8" i="37"/>
  <c r="K8" i="37" s="1"/>
  <c r="X7" i="37"/>
  <c r="W7" i="37"/>
  <c r="P7" i="37"/>
  <c r="X6" i="37"/>
  <c r="V6" i="37"/>
  <c r="U6" i="37"/>
  <c r="T6" i="37"/>
  <c r="S6" i="37"/>
  <c r="R6" i="37"/>
  <c r="Q6" i="37"/>
  <c r="Q16" i="37" l="1"/>
  <c r="U16" i="37"/>
  <c r="B82" i="37"/>
  <c r="H65" i="38"/>
  <c r="T16" i="37"/>
  <c r="K20" i="38"/>
  <c r="W11" i="37"/>
  <c r="H81" i="37"/>
  <c r="C27" i="38"/>
  <c r="B61" i="38"/>
  <c r="H52" i="38"/>
  <c r="C82" i="40"/>
  <c r="K58" i="40"/>
  <c r="O58" i="40" s="1"/>
  <c r="B86" i="40" s="1"/>
  <c r="H48" i="39"/>
  <c r="C48" i="39" s="1"/>
  <c r="C38" i="39"/>
  <c r="C33" i="39"/>
  <c r="B75" i="39"/>
  <c r="B82" i="39"/>
  <c r="B83" i="39" s="1"/>
  <c r="H59" i="39"/>
  <c r="K12" i="39" s="1"/>
  <c r="H70" i="39"/>
  <c r="H71" i="39" s="1"/>
  <c r="H72" i="39" s="1"/>
  <c r="K19" i="39" s="1"/>
  <c r="G66" i="39"/>
  <c r="G70" i="39"/>
  <c r="F70" i="39"/>
  <c r="F71" i="39" s="1"/>
  <c r="F72" i="39" s="1"/>
  <c r="K48" i="39" s="1"/>
  <c r="F59" i="39"/>
  <c r="K52" i="39" s="1"/>
  <c r="F66" i="39"/>
  <c r="F67" i="39" s="1"/>
  <c r="K47" i="39" s="1"/>
  <c r="D65" i="39"/>
  <c r="K31" i="38"/>
  <c r="R31" i="38" s="1"/>
  <c r="H61" i="38"/>
  <c r="K15" i="38"/>
  <c r="R34" i="38"/>
  <c r="R15" i="38"/>
  <c r="K10" i="38"/>
  <c r="R10" i="38" s="1"/>
  <c r="H59" i="38"/>
  <c r="H60" i="38"/>
  <c r="C7" i="38"/>
  <c r="R17" i="38"/>
  <c r="C37" i="38"/>
  <c r="H38" i="38"/>
  <c r="C38" i="38" s="1"/>
  <c r="K48" i="38"/>
  <c r="R48" i="38" s="1"/>
  <c r="F71" i="38"/>
  <c r="G71" i="38"/>
  <c r="K38" i="38"/>
  <c r="R38" i="38" s="1"/>
  <c r="H80" i="38"/>
  <c r="R7" i="38"/>
  <c r="C15" i="38"/>
  <c r="C16" i="38"/>
  <c r="C17" i="38"/>
  <c r="R43" i="38"/>
  <c r="K52" i="38"/>
  <c r="R52" i="38" s="1"/>
  <c r="F66" i="38"/>
  <c r="K47" i="38" s="1"/>
  <c r="H70" i="38"/>
  <c r="B81" i="38"/>
  <c r="B82" i="38" s="1"/>
  <c r="H32" i="38"/>
  <c r="C32" i="38" s="1"/>
  <c r="B48" i="38"/>
  <c r="H51" i="38"/>
  <c r="K12" i="38" s="1"/>
  <c r="R12" i="38" s="1"/>
  <c r="B83" i="37"/>
  <c r="B33" i="37"/>
  <c r="H7" i="37"/>
  <c r="H65" i="37" s="1"/>
  <c r="H70" i="37" s="1"/>
  <c r="H71" i="37" s="1"/>
  <c r="H72" i="37" s="1"/>
  <c r="K19" i="37" s="1"/>
  <c r="F65" i="37"/>
  <c r="K17" i="37"/>
  <c r="H61" i="37"/>
  <c r="K7" i="37"/>
  <c r="H60" i="37"/>
  <c r="B54" i="37"/>
  <c r="B62" i="37" s="1"/>
  <c r="H62" i="37" s="1"/>
  <c r="W16" i="37"/>
  <c r="H59" i="37"/>
  <c r="G67" i="37"/>
  <c r="K10" i="37"/>
  <c r="X15" i="37"/>
  <c r="X16" i="37" s="1"/>
  <c r="H38" i="37"/>
  <c r="C38" i="37" s="1"/>
  <c r="H39" i="37"/>
  <c r="C39" i="37" s="1"/>
  <c r="H40" i="37"/>
  <c r="C40" i="37" s="1"/>
  <c r="H41" i="37"/>
  <c r="C41" i="37" s="1"/>
  <c r="H52" i="37"/>
  <c r="G70" i="37"/>
  <c r="G59" i="37" s="1"/>
  <c r="K31" i="37" s="1"/>
  <c r="W6" i="37"/>
  <c r="S16" i="37"/>
  <c r="B49" i="37"/>
  <c r="H53" i="37"/>
  <c r="R81" i="36"/>
  <c r="R80" i="36"/>
  <c r="R79" i="36"/>
  <c r="R78" i="36"/>
  <c r="R77" i="36"/>
  <c r="R76" i="36"/>
  <c r="R75" i="36"/>
  <c r="R67" i="36"/>
  <c r="R65" i="36"/>
  <c r="R64" i="36"/>
  <c r="R63" i="36"/>
  <c r="R61" i="36"/>
  <c r="K56" i="39" l="1"/>
  <c r="C83" i="39"/>
  <c r="H66" i="39"/>
  <c r="G67" i="39"/>
  <c r="G59" i="39"/>
  <c r="K31" i="39" s="1"/>
  <c r="G71" i="39"/>
  <c r="G72" i="39" s="1"/>
  <c r="K38" i="39" s="1"/>
  <c r="B84" i="39"/>
  <c r="R40" i="38"/>
  <c r="K56" i="38"/>
  <c r="H47" i="38"/>
  <c r="C47" i="38" s="1"/>
  <c r="H66" i="38"/>
  <c r="K18" i="38" s="1"/>
  <c r="B74" i="38"/>
  <c r="C82" i="38" s="1"/>
  <c r="R56" i="38"/>
  <c r="R23" i="38"/>
  <c r="K40" i="38"/>
  <c r="K19" i="38"/>
  <c r="R19" i="38" s="1"/>
  <c r="H71" i="38"/>
  <c r="K23" i="38"/>
  <c r="D65" i="37"/>
  <c r="F66" i="37"/>
  <c r="H33" i="37"/>
  <c r="C33" i="37" s="1"/>
  <c r="F70" i="37"/>
  <c r="F71" i="37" s="1"/>
  <c r="F72" i="37" s="1"/>
  <c r="K48" i="37" s="1"/>
  <c r="F59" i="37"/>
  <c r="K52" i="37" s="1"/>
  <c r="K12" i="37"/>
  <c r="G71" i="37"/>
  <c r="G72" i="37" s="1"/>
  <c r="K38" i="37" s="1"/>
  <c r="K37" i="37"/>
  <c r="B75" i="37"/>
  <c r="H48" i="37"/>
  <c r="C48" i="37" s="1"/>
  <c r="B70" i="36"/>
  <c r="K62" i="36"/>
  <c r="R62" i="36" s="1"/>
  <c r="K66" i="36"/>
  <c r="R66" i="36" s="1"/>
  <c r="H67" i="39" l="1"/>
  <c r="K18" i="39" s="1"/>
  <c r="K23" i="39" s="1"/>
  <c r="K37" i="39"/>
  <c r="K40" i="39" s="1"/>
  <c r="K58" i="38"/>
  <c r="O58" i="38" s="1"/>
  <c r="B83" i="38"/>
  <c r="K40" i="37"/>
  <c r="F67" i="37"/>
  <c r="H66" i="37"/>
  <c r="C83" i="37"/>
  <c r="B84" i="37"/>
  <c r="N58" i="36"/>
  <c r="K90" i="36"/>
  <c r="K84" i="36"/>
  <c r="B79" i="36"/>
  <c r="G77" i="36"/>
  <c r="G79" i="36" s="1"/>
  <c r="G81" i="36" s="1"/>
  <c r="K74" i="36"/>
  <c r="H69" i="36"/>
  <c r="H70" i="36" s="1"/>
  <c r="G69" i="36"/>
  <c r="G70" i="36" s="1"/>
  <c r="G71" i="36" s="1"/>
  <c r="F69" i="36"/>
  <c r="F70" i="36" s="1"/>
  <c r="B66" i="36"/>
  <c r="B81" i="36" s="1"/>
  <c r="B82" i="36" s="1"/>
  <c r="G65" i="36"/>
  <c r="F65" i="36"/>
  <c r="F66" i="36" s="1"/>
  <c r="K47" i="36" s="1"/>
  <c r="D64" i="36"/>
  <c r="G60" i="36"/>
  <c r="F60" i="36"/>
  <c r="B60" i="36"/>
  <c r="M59" i="36"/>
  <c r="L59" i="36"/>
  <c r="G59" i="36"/>
  <c r="F59" i="36"/>
  <c r="B59" i="36"/>
  <c r="H59" i="36" s="1"/>
  <c r="G58" i="36"/>
  <c r="F58" i="36"/>
  <c r="H58" i="36" s="1"/>
  <c r="B57" i="36"/>
  <c r="H57" i="36" s="1"/>
  <c r="H56" i="36"/>
  <c r="K55" i="36"/>
  <c r="H55" i="36"/>
  <c r="K13" i="36" s="1"/>
  <c r="R13" i="36" s="1"/>
  <c r="K54" i="36"/>
  <c r="K53" i="36"/>
  <c r="R53" i="36" s="1"/>
  <c r="G52" i="36"/>
  <c r="F52" i="36"/>
  <c r="B52" i="36"/>
  <c r="K51" i="36"/>
  <c r="G51" i="36"/>
  <c r="G61" i="36" s="1"/>
  <c r="F51" i="36"/>
  <c r="F61" i="36" s="1"/>
  <c r="B51" i="36"/>
  <c r="B53" i="36" s="1"/>
  <c r="K50" i="36"/>
  <c r="R50" i="36" s="1"/>
  <c r="K49" i="36"/>
  <c r="G47" i="36"/>
  <c r="F47" i="36"/>
  <c r="B47" i="36"/>
  <c r="K46" i="36"/>
  <c r="R46" i="36" s="1"/>
  <c r="H46" i="36"/>
  <c r="C46" i="36" s="1"/>
  <c r="K45" i="36"/>
  <c r="H45" i="36"/>
  <c r="C45" i="36" s="1"/>
  <c r="K44" i="36"/>
  <c r="H44" i="36"/>
  <c r="C44" i="36" s="1"/>
  <c r="K43" i="36"/>
  <c r="R43" i="36" s="1"/>
  <c r="H43" i="36"/>
  <c r="C43" i="36" s="1"/>
  <c r="H42" i="36"/>
  <c r="C42" i="36" s="1"/>
  <c r="B40" i="36"/>
  <c r="H40" i="36" s="1"/>
  <c r="K39" i="36"/>
  <c r="B39" i="36"/>
  <c r="H39" i="36" s="1"/>
  <c r="B38" i="36"/>
  <c r="B37" i="36"/>
  <c r="H37" i="36" s="1"/>
  <c r="K36" i="36"/>
  <c r="R36" i="36" s="1"/>
  <c r="K35" i="36"/>
  <c r="R35" i="36" s="1"/>
  <c r="R34" i="36"/>
  <c r="K33" i="36"/>
  <c r="K32" i="36"/>
  <c r="R32" i="36" s="1"/>
  <c r="G32" i="36"/>
  <c r="F32" i="36"/>
  <c r="B32" i="36"/>
  <c r="H31" i="36"/>
  <c r="C31" i="36" s="1"/>
  <c r="H30" i="36"/>
  <c r="C30" i="36" s="1"/>
  <c r="K29" i="36"/>
  <c r="R29" i="36" s="1"/>
  <c r="H29" i="36"/>
  <c r="K21" i="36" s="1"/>
  <c r="C29" i="36"/>
  <c r="K28" i="36"/>
  <c r="H28" i="36"/>
  <c r="C28" i="36" s="1"/>
  <c r="K27" i="36"/>
  <c r="H27" i="36"/>
  <c r="C27" i="36" s="1"/>
  <c r="K26" i="36"/>
  <c r="H26" i="36"/>
  <c r="C26" i="36"/>
  <c r="H25" i="36"/>
  <c r="C25" i="36" s="1"/>
  <c r="H24" i="36"/>
  <c r="C24" i="36" s="1"/>
  <c r="H23" i="36"/>
  <c r="C23" i="36" s="1"/>
  <c r="H22" i="36"/>
  <c r="C22" i="36"/>
  <c r="H21" i="36"/>
  <c r="C21" i="36" s="1"/>
  <c r="K20" i="36"/>
  <c r="H20" i="36"/>
  <c r="C20" i="36" s="1"/>
  <c r="H19" i="36"/>
  <c r="C19" i="36" s="1"/>
  <c r="H18" i="36"/>
  <c r="C18" i="36" s="1"/>
  <c r="H17" i="36"/>
  <c r="C17" i="36" s="1"/>
  <c r="H16" i="36"/>
  <c r="C16" i="36" s="1"/>
  <c r="R15" i="36"/>
  <c r="H15" i="36"/>
  <c r="C15" i="36" s="1"/>
  <c r="H14" i="36"/>
  <c r="C14" i="36" s="1"/>
  <c r="H13" i="36"/>
  <c r="C13" i="36" s="1"/>
  <c r="H12" i="36"/>
  <c r="C12" i="36" s="1"/>
  <c r="H11" i="36"/>
  <c r="C11" i="36" s="1"/>
  <c r="H10" i="36"/>
  <c r="H9" i="36"/>
  <c r="K9" i="36" s="1"/>
  <c r="H8" i="36"/>
  <c r="K8" i="36" s="1"/>
  <c r="H7" i="36"/>
  <c r="C7" i="36" s="1"/>
  <c r="K31" i="36" l="1"/>
  <c r="R31" i="36" s="1"/>
  <c r="H65" i="36"/>
  <c r="K58" i="39"/>
  <c r="B86" i="38"/>
  <c r="K47" i="37"/>
  <c r="K56" i="37" s="1"/>
  <c r="H67" i="37"/>
  <c r="K18" i="37" s="1"/>
  <c r="K23" i="37" s="1"/>
  <c r="K92" i="36"/>
  <c r="K93" i="36" s="1"/>
  <c r="K15" i="36"/>
  <c r="H80" i="36"/>
  <c r="H60" i="36"/>
  <c r="B61" i="36"/>
  <c r="H61" i="36" s="1"/>
  <c r="H32" i="36"/>
  <c r="C32" i="36" s="1"/>
  <c r="H52" i="36"/>
  <c r="K34" i="36"/>
  <c r="K52" i="36"/>
  <c r="R52" i="36" s="1"/>
  <c r="F71" i="36"/>
  <c r="K48" i="36"/>
  <c r="R48" i="36" s="1"/>
  <c r="K19" i="36"/>
  <c r="R19" i="36" s="1"/>
  <c r="H71" i="36"/>
  <c r="B48" i="36"/>
  <c r="K10" i="36"/>
  <c r="R10" i="36" s="1"/>
  <c r="K17" i="36"/>
  <c r="R17" i="36" s="1"/>
  <c r="R26" i="36"/>
  <c r="C37" i="36"/>
  <c r="H51" i="36"/>
  <c r="K12" i="36" s="1"/>
  <c r="R12" i="36" s="1"/>
  <c r="K7" i="36"/>
  <c r="H38" i="36"/>
  <c r="C38" i="36" s="1"/>
  <c r="C39" i="36"/>
  <c r="C40" i="36"/>
  <c r="K16" i="36"/>
  <c r="R16" i="36" s="1"/>
  <c r="G66" i="36"/>
  <c r="K37" i="36" s="1"/>
  <c r="K38" i="36"/>
  <c r="R38" i="36" s="1"/>
  <c r="B70" i="35"/>
  <c r="Q56" i="39" l="1"/>
  <c r="Y58" i="39"/>
  <c r="K58" i="37"/>
  <c r="Y58" i="37" s="1"/>
  <c r="R56" i="36"/>
  <c r="K56" i="36"/>
  <c r="B74" i="36"/>
  <c r="C82" i="36" s="1"/>
  <c r="H47" i="36"/>
  <c r="C47" i="36" s="1"/>
  <c r="K40" i="36"/>
  <c r="R40" i="36"/>
  <c r="H66" i="36"/>
  <c r="K18" i="36" s="1"/>
  <c r="K23" i="36" s="1"/>
  <c r="R7" i="36"/>
  <c r="R23" i="36" s="1"/>
  <c r="N58" i="35"/>
  <c r="K90" i="35"/>
  <c r="K49" i="35" s="1"/>
  <c r="K84" i="35"/>
  <c r="B79" i="35"/>
  <c r="G77" i="35"/>
  <c r="G79" i="35" s="1"/>
  <c r="G81" i="35" s="1"/>
  <c r="K74" i="35"/>
  <c r="H69" i="35"/>
  <c r="H70" i="35" s="1"/>
  <c r="G69" i="35"/>
  <c r="G70" i="35" s="1"/>
  <c r="F69" i="35"/>
  <c r="F70" i="35" s="1"/>
  <c r="B66" i="35"/>
  <c r="B81" i="35" s="1"/>
  <c r="B82" i="35" s="1"/>
  <c r="G65" i="35"/>
  <c r="H65" i="35" s="1"/>
  <c r="F65" i="35"/>
  <c r="F66" i="35" s="1"/>
  <c r="K47" i="35" s="1"/>
  <c r="D64" i="35"/>
  <c r="G60" i="35"/>
  <c r="F60" i="35"/>
  <c r="B60" i="35"/>
  <c r="M59" i="35"/>
  <c r="L59" i="35"/>
  <c r="G59" i="35"/>
  <c r="F59" i="35"/>
  <c r="B59" i="35"/>
  <c r="G58" i="35"/>
  <c r="F58" i="35"/>
  <c r="H58" i="35" s="1"/>
  <c r="B57" i="35"/>
  <c r="H57" i="35" s="1"/>
  <c r="H56" i="35"/>
  <c r="K55" i="35"/>
  <c r="H55" i="35"/>
  <c r="K13" i="35" s="1"/>
  <c r="R13" i="35" s="1"/>
  <c r="K54" i="35"/>
  <c r="K53" i="35"/>
  <c r="R53" i="35" s="1"/>
  <c r="G52" i="35"/>
  <c r="F52" i="35"/>
  <c r="B52" i="35"/>
  <c r="K51" i="35"/>
  <c r="G51" i="35"/>
  <c r="F51" i="35"/>
  <c r="F61" i="35" s="1"/>
  <c r="B51" i="35"/>
  <c r="B53" i="35" s="1"/>
  <c r="K50" i="35"/>
  <c r="R50" i="35" s="1"/>
  <c r="G47" i="35"/>
  <c r="F47" i="35"/>
  <c r="B47" i="35"/>
  <c r="K46" i="35"/>
  <c r="R46" i="35" s="1"/>
  <c r="H46" i="35"/>
  <c r="C46" i="35" s="1"/>
  <c r="K45" i="35"/>
  <c r="H45" i="35"/>
  <c r="C45" i="35" s="1"/>
  <c r="K44" i="35"/>
  <c r="H44" i="35"/>
  <c r="C44" i="35" s="1"/>
  <c r="K43" i="35"/>
  <c r="R43" i="35" s="1"/>
  <c r="H43" i="35"/>
  <c r="C43" i="35" s="1"/>
  <c r="H42" i="35"/>
  <c r="C42" i="35" s="1"/>
  <c r="B40" i="35"/>
  <c r="H40" i="35" s="1"/>
  <c r="K39" i="35"/>
  <c r="B39" i="35"/>
  <c r="H39" i="35" s="1"/>
  <c r="B38" i="35"/>
  <c r="B37" i="35"/>
  <c r="K36" i="35"/>
  <c r="R36" i="35" s="1"/>
  <c r="K35" i="35"/>
  <c r="R35" i="35" s="1"/>
  <c r="R34" i="35"/>
  <c r="K33" i="35"/>
  <c r="K32" i="35"/>
  <c r="R32" i="35" s="1"/>
  <c r="G32" i="35"/>
  <c r="F32" i="35"/>
  <c r="B32" i="35"/>
  <c r="H31" i="35"/>
  <c r="C31" i="35" s="1"/>
  <c r="H30" i="35"/>
  <c r="C30" i="35" s="1"/>
  <c r="K29" i="35"/>
  <c r="R29" i="35" s="1"/>
  <c r="H29" i="35"/>
  <c r="K21" i="35" s="1"/>
  <c r="C29" i="35"/>
  <c r="K28" i="35"/>
  <c r="H28" i="35"/>
  <c r="C28" i="35" s="1"/>
  <c r="K27" i="35"/>
  <c r="H27" i="35"/>
  <c r="C27" i="35" s="1"/>
  <c r="K26" i="35"/>
  <c r="H26" i="35"/>
  <c r="C26" i="35" s="1"/>
  <c r="H25" i="35"/>
  <c r="C25" i="35" s="1"/>
  <c r="H24" i="35"/>
  <c r="C24" i="35" s="1"/>
  <c r="H23" i="35"/>
  <c r="C23" i="35" s="1"/>
  <c r="H22" i="35"/>
  <c r="C22" i="35" s="1"/>
  <c r="H21" i="35"/>
  <c r="C21" i="35" s="1"/>
  <c r="K20" i="35"/>
  <c r="H20" i="35"/>
  <c r="C20" i="35"/>
  <c r="H19" i="35"/>
  <c r="C19" i="35"/>
  <c r="H18" i="35"/>
  <c r="C18" i="35" s="1"/>
  <c r="H17" i="35"/>
  <c r="H16" i="35"/>
  <c r="C16" i="35" s="1"/>
  <c r="R15" i="35"/>
  <c r="H15" i="35"/>
  <c r="C15" i="35" s="1"/>
  <c r="H14" i="35"/>
  <c r="C14" i="35" s="1"/>
  <c r="H13" i="35"/>
  <c r="C13" i="35" s="1"/>
  <c r="H12" i="35"/>
  <c r="C12" i="35" s="1"/>
  <c r="H11" i="35"/>
  <c r="C11" i="35" s="1"/>
  <c r="H10" i="35"/>
  <c r="H9" i="35"/>
  <c r="K9" i="35" s="1"/>
  <c r="H8" i="35"/>
  <c r="K8" i="35" s="1"/>
  <c r="H7" i="35"/>
  <c r="C7" i="35" s="1"/>
  <c r="K31" i="35" l="1"/>
  <c r="R31" i="35" s="1"/>
  <c r="K92" i="35"/>
  <c r="K93" i="35" s="1"/>
  <c r="Q56" i="37"/>
  <c r="B83" i="36"/>
  <c r="K58" i="36"/>
  <c r="O58" i="36" s="1"/>
  <c r="K15" i="35"/>
  <c r="K17" i="35"/>
  <c r="R17" i="35" s="1"/>
  <c r="H59" i="35"/>
  <c r="B61" i="35"/>
  <c r="K34" i="35"/>
  <c r="K52" i="35"/>
  <c r="R52" i="35" s="1"/>
  <c r="H52" i="35"/>
  <c r="H60" i="35"/>
  <c r="H51" i="35"/>
  <c r="K12" i="35" s="1"/>
  <c r="R12" i="35" s="1"/>
  <c r="H32" i="35"/>
  <c r="C32" i="35" s="1"/>
  <c r="G71" i="35"/>
  <c r="K38" i="35"/>
  <c r="R38" i="35" s="1"/>
  <c r="H71" i="35"/>
  <c r="K19" i="35"/>
  <c r="R19" i="35" s="1"/>
  <c r="K48" i="35"/>
  <c r="R48" i="35" s="1"/>
  <c r="F71" i="35"/>
  <c r="H80" i="35"/>
  <c r="R26" i="35"/>
  <c r="K7" i="35"/>
  <c r="G61" i="35"/>
  <c r="G66" i="35"/>
  <c r="K37" i="35" s="1"/>
  <c r="K10" i="35"/>
  <c r="R10" i="35" s="1"/>
  <c r="K16" i="35"/>
  <c r="R16" i="35" s="1"/>
  <c r="H37" i="35"/>
  <c r="H38" i="35"/>
  <c r="C38" i="35" s="1"/>
  <c r="C39" i="35"/>
  <c r="C40" i="35"/>
  <c r="C17" i="35"/>
  <c r="B48" i="35"/>
  <c r="K36" i="33"/>
  <c r="B86" i="36" l="1"/>
  <c r="H61" i="35"/>
  <c r="H47" i="35"/>
  <c r="K40" i="35"/>
  <c r="K56" i="35"/>
  <c r="R56" i="35"/>
  <c r="C47" i="35"/>
  <c r="R7" i="35"/>
  <c r="R23" i="35" s="1"/>
  <c r="H66" i="35"/>
  <c r="K18" i="35" s="1"/>
  <c r="K23" i="35" s="1"/>
  <c r="B74" i="35"/>
  <c r="R40" i="35"/>
  <c r="C37" i="35"/>
  <c r="K36" i="32"/>
  <c r="K58" i="35" l="1"/>
  <c r="O58" i="35" s="1"/>
  <c r="C82" i="35"/>
  <c r="B83" i="35"/>
  <c r="K51" i="33"/>
  <c r="B86" i="35" l="1"/>
  <c r="B71" i="34"/>
  <c r="G59" i="34"/>
  <c r="H65" i="34"/>
  <c r="H70" i="34" s="1"/>
  <c r="G65" i="34"/>
  <c r="G66" i="34" s="1"/>
  <c r="F65" i="34"/>
  <c r="F59" i="34" s="1"/>
  <c r="K52" i="34" s="1"/>
  <c r="B72" i="34"/>
  <c r="O58" i="34"/>
  <c r="K88" i="34"/>
  <c r="K49" i="34" s="1"/>
  <c r="K83" i="34"/>
  <c r="G80" i="34"/>
  <c r="B80" i="34"/>
  <c r="K76" i="34"/>
  <c r="G70" i="34"/>
  <c r="G71" i="34" s="1"/>
  <c r="G72" i="34" s="1"/>
  <c r="K38" i="34" s="1"/>
  <c r="B67" i="34"/>
  <c r="F66" i="34"/>
  <c r="F67" i="34" s="1"/>
  <c r="K47" i="34" s="1"/>
  <c r="G61" i="34"/>
  <c r="F61" i="34"/>
  <c r="B61" i="34"/>
  <c r="G60" i="34"/>
  <c r="F60" i="34"/>
  <c r="B60" i="34"/>
  <c r="B58" i="34"/>
  <c r="H58" i="34" s="1"/>
  <c r="H57" i="34"/>
  <c r="W56" i="34"/>
  <c r="U56" i="34"/>
  <c r="S56" i="34"/>
  <c r="H56" i="34"/>
  <c r="K14" i="34" s="1"/>
  <c r="K55" i="34"/>
  <c r="K53" i="34"/>
  <c r="G53" i="34"/>
  <c r="F53" i="34"/>
  <c r="B53" i="34"/>
  <c r="F52" i="34"/>
  <c r="F62" i="34" s="1"/>
  <c r="B52" i="34"/>
  <c r="K51" i="34"/>
  <c r="K50" i="34"/>
  <c r="G48" i="34"/>
  <c r="F48" i="34"/>
  <c r="B48" i="34"/>
  <c r="H47" i="34"/>
  <c r="C47" i="34"/>
  <c r="K46" i="34"/>
  <c r="H46" i="34"/>
  <c r="C46" i="34" s="1"/>
  <c r="H45" i="34"/>
  <c r="C45" i="34" s="1"/>
  <c r="K44" i="34"/>
  <c r="H44" i="34"/>
  <c r="C44" i="34" s="1"/>
  <c r="K43" i="34"/>
  <c r="H43" i="34"/>
  <c r="B41" i="34"/>
  <c r="B40" i="34"/>
  <c r="K39" i="34"/>
  <c r="B39" i="34"/>
  <c r="H39" i="34" s="1"/>
  <c r="B38" i="34"/>
  <c r="H38" i="34" s="1"/>
  <c r="K36" i="34"/>
  <c r="K34" i="34"/>
  <c r="F33" i="34"/>
  <c r="B33" i="34"/>
  <c r="K32" i="34"/>
  <c r="H32" i="34"/>
  <c r="C32" i="34" s="1"/>
  <c r="H31" i="34"/>
  <c r="K20" i="34" s="1"/>
  <c r="K30" i="34"/>
  <c r="H30" i="34"/>
  <c r="K29" i="34"/>
  <c r="H29" i="34"/>
  <c r="K28" i="34"/>
  <c r="H28" i="34"/>
  <c r="K27" i="34"/>
  <c r="H27" i="34"/>
  <c r="K26" i="34"/>
  <c r="H26" i="34"/>
  <c r="H25" i="34"/>
  <c r="G52" i="34"/>
  <c r="H23" i="34"/>
  <c r="H22" i="34"/>
  <c r="K21" i="34"/>
  <c r="H21" i="34"/>
  <c r="H20" i="34"/>
  <c r="H19" i="34"/>
  <c r="H18" i="34"/>
  <c r="K35" i="34"/>
  <c r="H16" i="34"/>
  <c r="V15" i="34"/>
  <c r="U15" i="34"/>
  <c r="T15" i="34"/>
  <c r="S15" i="34"/>
  <c r="W15" i="34" s="1"/>
  <c r="R15" i="34"/>
  <c r="Q15" i="34"/>
  <c r="P15" i="34"/>
  <c r="H15" i="34"/>
  <c r="H14" i="34"/>
  <c r="X13" i="34"/>
  <c r="V13" i="34"/>
  <c r="U13" i="34"/>
  <c r="U16" i="34" s="1"/>
  <c r="T13" i="34"/>
  <c r="S13" i="34"/>
  <c r="R13" i="34"/>
  <c r="Q13" i="34"/>
  <c r="Q16" i="34" s="1"/>
  <c r="P13" i="34"/>
  <c r="H13" i="34"/>
  <c r="H12" i="34"/>
  <c r="V11" i="34"/>
  <c r="V16" i="34" s="1"/>
  <c r="U11" i="34"/>
  <c r="T11" i="34"/>
  <c r="S11" i="34"/>
  <c r="R11" i="34"/>
  <c r="R16" i="34" s="1"/>
  <c r="Q11" i="34"/>
  <c r="P11" i="34"/>
  <c r="H11" i="34"/>
  <c r="K15" i="34" s="1"/>
  <c r="H10" i="34"/>
  <c r="K11" i="34" s="1"/>
  <c r="H9" i="34"/>
  <c r="K9" i="34" s="1"/>
  <c r="X8" i="34"/>
  <c r="W8" i="34"/>
  <c r="P8" i="34"/>
  <c r="H8" i="34"/>
  <c r="K8" i="34" s="1"/>
  <c r="X7" i="34"/>
  <c r="W7" i="34"/>
  <c r="P7" i="34"/>
  <c r="H7" i="34"/>
  <c r="K7" i="34" s="1"/>
  <c r="X6" i="34"/>
  <c r="V6" i="34"/>
  <c r="U6" i="34"/>
  <c r="T6" i="34"/>
  <c r="S6" i="34"/>
  <c r="R6" i="34"/>
  <c r="Q6" i="34"/>
  <c r="X15" i="34" l="1"/>
  <c r="S16" i="34"/>
  <c r="H59" i="34"/>
  <c r="X11" i="34"/>
  <c r="X16" i="34" s="1"/>
  <c r="W13" i="34"/>
  <c r="H53" i="34"/>
  <c r="H60" i="34"/>
  <c r="T16" i="34"/>
  <c r="F70" i="34"/>
  <c r="H71" i="34"/>
  <c r="H72" i="34" s="1"/>
  <c r="K19" i="34" s="1"/>
  <c r="D65" i="34"/>
  <c r="H66" i="34"/>
  <c r="B82" i="34"/>
  <c r="B83" i="34" s="1"/>
  <c r="F71" i="34"/>
  <c r="F72" i="34" s="1"/>
  <c r="K48" i="34" s="1"/>
  <c r="K56" i="34" s="1"/>
  <c r="H81" i="34"/>
  <c r="K17" i="34"/>
  <c r="H61" i="34"/>
  <c r="H24" i="34"/>
  <c r="H33" i="34" s="1"/>
  <c r="B49" i="34"/>
  <c r="H41" i="34"/>
  <c r="C41" i="34" s="1"/>
  <c r="G33" i="34"/>
  <c r="C39" i="34"/>
  <c r="H40" i="34"/>
  <c r="C40" i="34" s="1"/>
  <c r="H52" i="34"/>
  <c r="G62" i="34"/>
  <c r="K31" i="34"/>
  <c r="K10" i="34"/>
  <c r="C43" i="34"/>
  <c r="W11" i="34"/>
  <c r="W16" i="34" s="1"/>
  <c r="B54" i="34"/>
  <c r="B62" i="34" s="1"/>
  <c r="G67" i="34"/>
  <c r="K37" i="34" s="1"/>
  <c r="H17" i="34"/>
  <c r="K16" i="34" s="1"/>
  <c r="W6" i="34"/>
  <c r="C38" i="34"/>
  <c r="K46" i="33"/>
  <c r="R46" i="33" s="1"/>
  <c r="B70" i="33"/>
  <c r="K29" i="33"/>
  <c r="R29" i="33" s="1"/>
  <c r="N58" i="33"/>
  <c r="K90" i="33"/>
  <c r="K49" i="33" s="1"/>
  <c r="K84" i="33"/>
  <c r="K34" i="33" s="1"/>
  <c r="G79" i="33"/>
  <c r="G81" i="33" s="1"/>
  <c r="B79" i="33"/>
  <c r="G77" i="33"/>
  <c r="K74" i="33"/>
  <c r="H69" i="33"/>
  <c r="G69" i="33"/>
  <c r="F69" i="33"/>
  <c r="F70" i="33" s="1"/>
  <c r="B66" i="33"/>
  <c r="B81" i="33" s="1"/>
  <c r="B82" i="33" s="1"/>
  <c r="G65" i="33"/>
  <c r="H65" i="33" s="1"/>
  <c r="F65" i="33"/>
  <c r="F66" i="33" s="1"/>
  <c r="K47" i="33" s="1"/>
  <c r="D64" i="33"/>
  <c r="G60" i="33"/>
  <c r="F60" i="33"/>
  <c r="B60" i="33"/>
  <c r="M59" i="33"/>
  <c r="L59" i="33"/>
  <c r="G59" i="33"/>
  <c r="F59" i="33"/>
  <c r="B59" i="33"/>
  <c r="G58" i="33"/>
  <c r="F58" i="33"/>
  <c r="H58" i="33" s="1"/>
  <c r="B57" i="33"/>
  <c r="H57" i="33" s="1"/>
  <c r="H56" i="33"/>
  <c r="K55" i="33"/>
  <c r="H55" i="33"/>
  <c r="K13" i="33" s="1"/>
  <c r="K54" i="33"/>
  <c r="K53" i="33"/>
  <c r="R53" i="33" s="1"/>
  <c r="G52" i="33"/>
  <c r="F52" i="33"/>
  <c r="B52" i="33"/>
  <c r="G51" i="33"/>
  <c r="G61" i="33" s="1"/>
  <c r="F51" i="33"/>
  <c r="F61" i="33" s="1"/>
  <c r="B51" i="33"/>
  <c r="B53" i="33" s="1"/>
  <c r="K50" i="33"/>
  <c r="R50" i="33" s="1"/>
  <c r="G47" i="33"/>
  <c r="F47" i="33"/>
  <c r="B47" i="33"/>
  <c r="H46" i="33"/>
  <c r="C46" i="33" s="1"/>
  <c r="K45" i="33"/>
  <c r="H45" i="33"/>
  <c r="C45" i="33" s="1"/>
  <c r="K44" i="33"/>
  <c r="H44" i="33"/>
  <c r="C44" i="33" s="1"/>
  <c r="K43" i="33"/>
  <c r="R43" i="33" s="1"/>
  <c r="H43" i="33"/>
  <c r="C43" i="33" s="1"/>
  <c r="H42" i="33"/>
  <c r="C42" i="33" s="1"/>
  <c r="B40" i="33"/>
  <c r="H40" i="33" s="1"/>
  <c r="K39" i="33"/>
  <c r="B39" i="33"/>
  <c r="H39" i="33" s="1"/>
  <c r="B38" i="33"/>
  <c r="H38" i="33" s="1"/>
  <c r="C38" i="33" s="1"/>
  <c r="B37" i="33"/>
  <c r="R36" i="33"/>
  <c r="K35" i="33"/>
  <c r="R35" i="33" s="1"/>
  <c r="R34" i="33"/>
  <c r="K33" i="33"/>
  <c r="K32" i="33"/>
  <c r="R32" i="33" s="1"/>
  <c r="G32" i="33"/>
  <c r="F32" i="33"/>
  <c r="B32" i="33"/>
  <c r="H31" i="33"/>
  <c r="C31" i="33"/>
  <c r="H30" i="33"/>
  <c r="C30" i="33" s="1"/>
  <c r="H29" i="33"/>
  <c r="C29" i="33" s="1"/>
  <c r="K28" i="33"/>
  <c r="H28" i="33"/>
  <c r="C28" i="33" s="1"/>
  <c r="K27" i="33"/>
  <c r="H27" i="33"/>
  <c r="C27" i="33" s="1"/>
  <c r="K26" i="33"/>
  <c r="R26" i="33" s="1"/>
  <c r="H26" i="33"/>
  <c r="C26" i="33" s="1"/>
  <c r="H25" i="33"/>
  <c r="C25" i="33" s="1"/>
  <c r="H24" i="33"/>
  <c r="C24" i="33" s="1"/>
  <c r="H23" i="33"/>
  <c r="C23" i="33" s="1"/>
  <c r="H22" i="33"/>
  <c r="C22" i="33" s="1"/>
  <c r="H21" i="33"/>
  <c r="C21" i="33" s="1"/>
  <c r="H20" i="33"/>
  <c r="C20" i="33" s="1"/>
  <c r="H19" i="33"/>
  <c r="C19" i="33" s="1"/>
  <c r="H18" i="33"/>
  <c r="C18" i="33" s="1"/>
  <c r="H17" i="33"/>
  <c r="C17" i="33" s="1"/>
  <c r="H16" i="33"/>
  <c r="C16" i="33" s="1"/>
  <c r="R15" i="33"/>
  <c r="H15" i="33"/>
  <c r="C15" i="33" s="1"/>
  <c r="H14" i="33"/>
  <c r="C14" i="33" s="1"/>
  <c r="H13" i="33"/>
  <c r="C13" i="33" s="1"/>
  <c r="H12" i="33"/>
  <c r="C12" i="33" s="1"/>
  <c r="H11" i="33"/>
  <c r="C11" i="33" s="1"/>
  <c r="H10" i="33"/>
  <c r="H9" i="33"/>
  <c r="K9" i="33" s="1"/>
  <c r="H8" i="33"/>
  <c r="K8" i="33" s="1"/>
  <c r="H7" i="33"/>
  <c r="C7" i="33" s="1"/>
  <c r="K92" i="33" l="1"/>
  <c r="K93" i="33" s="1"/>
  <c r="H70" i="33"/>
  <c r="H71" i="33" s="1"/>
  <c r="K40" i="34"/>
  <c r="H48" i="34"/>
  <c r="B75" i="34"/>
  <c r="C83" i="34" s="1"/>
  <c r="C48" i="34"/>
  <c r="C33" i="34"/>
  <c r="K12" i="34"/>
  <c r="H62" i="34"/>
  <c r="H67" i="34"/>
  <c r="K18" i="34" s="1"/>
  <c r="H80" i="33"/>
  <c r="K10" i="33"/>
  <c r="H60" i="33"/>
  <c r="G70" i="33"/>
  <c r="K38" i="33" s="1"/>
  <c r="R38" i="33" s="1"/>
  <c r="K15" i="33"/>
  <c r="K7" i="33"/>
  <c r="K17" i="33"/>
  <c r="R17" i="33" s="1"/>
  <c r="R13" i="33"/>
  <c r="B61" i="33"/>
  <c r="H59" i="33"/>
  <c r="H51" i="33"/>
  <c r="K12" i="33" s="1"/>
  <c r="R12" i="33" s="1"/>
  <c r="K31" i="33"/>
  <c r="R31" i="33" s="1"/>
  <c r="K52" i="33"/>
  <c r="R52" i="33" s="1"/>
  <c r="R10" i="33"/>
  <c r="B48" i="33"/>
  <c r="B74" i="33" s="1"/>
  <c r="C82" i="33" s="1"/>
  <c r="H52" i="33"/>
  <c r="K16" i="33"/>
  <c r="R16" i="33" s="1"/>
  <c r="H61" i="33"/>
  <c r="K48" i="33"/>
  <c r="R48" i="33" s="1"/>
  <c r="F71" i="33"/>
  <c r="H32" i="33"/>
  <c r="C32" i="33" s="1"/>
  <c r="H37" i="33"/>
  <c r="C39" i="33"/>
  <c r="C40" i="33"/>
  <c r="G66" i="33"/>
  <c r="K37" i="33" s="1"/>
  <c r="K21" i="33"/>
  <c r="K20" i="33"/>
  <c r="K19" i="33" l="1"/>
  <c r="R19" i="33" s="1"/>
  <c r="G71" i="33"/>
  <c r="H66" i="33"/>
  <c r="K18" i="33" s="1"/>
  <c r="K23" i="34"/>
  <c r="K58" i="34" s="1"/>
  <c r="Y58" i="34" s="1"/>
  <c r="B84" i="34"/>
  <c r="R40" i="33"/>
  <c r="R56" i="33"/>
  <c r="K40" i="33"/>
  <c r="B83" i="33"/>
  <c r="C37" i="33"/>
  <c r="H47" i="33"/>
  <c r="C47" i="33" s="1"/>
  <c r="K23" i="33"/>
  <c r="R7" i="33"/>
  <c r="R23" i="33" s="1"/>
  <c r="K56" i="33"/>
  <c r="N58" i="32"/>
  <c r="K90" i="32"/>
  <c r="K84" i="32"/>
  <c r="B79" i="32"/>
  <c r="G77" i="32"/>
  <c r="G79" i="32" s="1"/>
  <c r="G81" i="32" s="1"/>
  <c r="H69" i="32"/>
  <c r="H70" i="32" s="1"/>
  <c r="G69" i="32"/>
  <c r="G70" i="32" s="1"/>
  <c r="F69" i="32"/>
  <c r="F70" i="32" s="1"/>
  <c r="B66" i="32"/>
  <c r="B81" i="32" s="1"/>
  <c r="B82" i="32" s="1"/>
  <c r="K74" i="32"/>
  <c r="G65" i="32"/>
  <c r="G66" i="32" s="1"/>
  <c r="K37" i="32" s="1"/>
  <c r="F65" i="32"/>
  <c r="F66" i="32" s="1"/>
  <c r="D64" i="32"/>
  <c r="G60" i="32"/>
  <c r="F60" i="32"/>
  <c r="B60" i="32"/>
  <c r="H60" i="32" s="1"/>
  <c r="M59" i="32"/>
  <c r="L59" i="32"/>
  <c r="G59" i="32"/>
  <c r="F59" i="32"/>
  <c r="B59" i="32"/>
  <c r="G58" i="32"/>
  <c r="F58" i="32"/>
  <c r="B57" i="32"/>
  <c r="H57" i="32" s="1"/>
  <c r="H56" i="32"/>
  <c r="K55" i="32"/>
  <c r="H55" i="32"/>
  <c r="K13" i="32" s="1"/>
  <c r="R13" i="32" s="1"/>
  <c r="K54" i="32"/>
  <c r="K53" i="32"/>
  <c r="R53" i="32" s="1"/>
  <c r="G52" i="32"/>
  <c r="F52" i="32"/>
  <c r="B52" i="32"/>
  <c r="H52" i="32" s="1"/>
  <c r="K51" i="32"/>
  <c r="G51" i="32"/>
  <c r="G61" i="32" s="1"/>
  <c r="F51" i="32"/>
  <c r="B51" i="32"/>
  <c r="K50" i="32"/>
  <c r="R50" i="32" s="1"/>
  <c r="K49" i="32"/>
  <c r="G47" i="32"/>
  <c r="F47" i="32"/>
  <c r="B47" i="32"/>
  <c r="K46" i="32"/>
  <c r="H46" i="32"/>
  <c r="C46" i="32" s="1"/>
  <c r="K45" i="32"/>
  <c r="H45" i="32"/>
  <c r="C45" i="32" s="1"/>
  <c r="K44" i="32"/>
  <c r="H44" i="32"/>
  <c r="C44" i="32" s="1"/>
  <c r="K43" i="32"/>
  <c r="R43" i="32" s="1"/>
  <c r="H43" i="32"/>
  <c r="C43" i="32" s="1"/>
  <c r="H42" i="32"/>
  <c r="C42" i="32" s="1"/>
  <c r="B40" i="32"/>
  <c r="H40" i="32" s="1"/>
  <c r="K39" i="32"/>
  <c r="B39" i="32"/>
  <c r="H39" i="32" s="1"/>
  <c r="B38" i="32"/>
  <c r="H38" i="32" s="1"/>
  <c r="B37" i="32"/>
  <c r="H37" i="32" s="1"/>
  <c r="R36" i="32"/>
  <c r="K35" i="32"/>
  <c r="R35" i="32" s="1"/>
  <c r="R34" i="32"/>
  <c r="K34" i="32"/>
  <c r="K33" i="32"/>
  <c r="K32" i="32"/>
  <c r="R32" i="32" s="1"/>
  <c r="G32" i="32"/>
  <c r="F32" i="32"/>
  <c r="B32" i="32"/>
  <c r="H31" i="32"/>
  <c r="C31" i="32" s="1"/>
  <c r="H30" i="32"/>
  <c r="C30" i="32" s="1"/>
  <c r="K29" i="32"/>
  <c r="R29" i="32" s="1"/>
  <c r="H29" i="32"/>
  <c r="C29" i="32"/>
  <c r="K28" i="32"/>
  <c r="H28" i="32"/>
  <c r="C28" i="32" s="1"/>
  <c r="K27" i="32"/>
  <c r="H27" i="32"/>
  <c r="C27" i="32" s="1"/>
  <c r="K26" i="32"/>
  <c r="H26" i="32"/>
  <c r="C26" i="32" s="1"/>
  <c r="H25" i="32"/>
  <c r="C25" i="32"/>
  <c r="H24" i="32"/>
  <c r="C24" i="32" s="1"/>
  <c r="H23" i="32"/>
  <c r="C23" i="32" s="1"/>
  <c r="H22" i="32"/>
  <c r="C22" i="32" s="1"/>
  <c r="K21" i="32"/>
  <c r="H21" i="32"/>
  <c r="C21" i="32" s="1"/>
  <c r="K20" i="32"/>
  <c r="H20" i="32"/>
  <c r="C20" i="32" s="1"/>
  <c r="H19" i="32"/>
  <c r="C19" i="32" s="1"/>
  <c r="H18" i="32"/>
  <c r="C18" i="32" s="1"/>
  <c r="H17" i="32"/>
  <c r="C17" i="32" s="1"/>
  <c r="H16" i="32"/>
  <c r="C16" i="32" s="1"/>
  <c r="R15" i="32"/>
  <c r="H15" i="32"/>
  <c r="C15" i="32" s="1"/>
  <c r="H14" i="32"/>
  <c r="C14" i="32" s="1"/>
  <c r="H13" i="32"/>
  <c r="C13" i="32" s="1"/>
  <c r="H12" i="32"/>
  <c r="C12" i="32" s="1"/>
  <c r="H11" i="32"/>
  <c r="C11" i="32" s="1"/>
  <c r="H10" i="32"/>
  <c r="H9" i="32"/>
  <c r="K9" i="32" s="1"/>
  <c r="H8" i="32"/>
  <c r="K8" i="32" s="1"/>
  <c r="H7" i="32"/>
  <c r="K66" i="31"/>
  <c r="K65" i="31"/>
  <c r="B70" i="31"/>
  <c r="F70" i="31" s="1"/>
  <c r="H42" i="31"/>
  <c r="N58" i="31"/>
  <c r="K90" i="31"/>
  <c r="K84" i="31"/>
  <c r="K34" i="31" s="1"/>
  <c r="B79" i="31"/>
  <c r="G77" i="31"/>
  <c r="G79" i="31" s="1"/>
  <c r="G81" i="31" s="1"/>
  <c r="H69" i="31"/>
  <c r="G69" i="31"/>
  <c r="F69" i="31"/>
  <c r="B66" i="31"/>
  <c r="B81" i="31" s="1"/>
  <c r="B82" i="31" s="1"/>
  <c r="G65" i="31"/>
  <c r="G66" i="31" s="1"/>
  <c r="F65" i="31"/>
  <c r="F66" i="31" s="1"/>
  <c r="K47" i="31" s="1"/>
  <c r="D64" i="31"/>
  <c r="G60" i="31"/>
  <c r="F60" i="31"/>
  <c r="B60" i="31"/>
  <c r="M59" i="31"/>
  <c r="L59" i="31"/>
  <c r="G59" i="31"/>
  <c r="F59" i="31"/>
  <c r="B59" i="31"/>
  <c r="G58" i="31"/>
  <c r="F58" i="31"/>
  <c r="H58" i="31" s="1"/>
  <c r="B57" i="31"/>
  <c r="H57" i="31" s="1"/>
  <c r="H56" i="31"/>
  <c r="K55" i="31"/>
  <c r="H55" i="31"/>
  <c r="K13" i="31" s="1"/>
  <c r="R13" i="31" s="1"/>
  <c r="K54" i="31"/>
  <c r="K53" i="31"/>
  <c r="R53" i="31" s="1"/>
  <c r="G52" i="31"/>
  <c r="F52" i="31"/>
  <c r="B52" i="31"/>
  <c r="H52" i="31" s="1"/>
  <c r="K51" i="31"/>
  <c r="G51" i="31"/>
  <c r="K31" i="31" s="1"/>
  <c r="R31" i="31" s="1"/>
  <c r="F51" i="31"/>
  <c r="B51" i="31"/>
  <c r="B53" i="31" s="1"/>
  <c r="K50" i="31"/>
  <c r="R50" i="31" s="1"/>
  <c r="K49" i="31"/>
  <c r="G47" i="31"/>
  <c r="F47" i="31"/>
  <c r="B47" i="31"/>
  <c r="K46" i="31"/>
  <c r="R46" i="31" s="1"/>
  <c r="H46" i="31"/>
  <c r="C46" i="31"/>
  <c r="K45" i="31"/>
  <c r="H45" i="31"/>
  <c r="C45" i="31" s="1"/>
  <c r="K44" i="31"/>
  <c r="H44" i="31"/>
  <c r="C44" i="31" s="1"/>
  <c r="K43" i="31"/>
  <c r="R43" i="31" s="1"/>
  <c r="H43" i="31"/>
  <c r="C43" i="31" s="1"/>
  <c r="C42" i="31"/>
  <c r="B40" i="31"/>
  <c r="H40" i="31" s="1"/>
  <c r="K39" i="31"/>
  <c r="B39" i="31"/>
  <c r="H39" i="31" s="1"/>
  <c r="B38" i="31"/>
  <c r="B37" i="31"/>
  <c r="K36" i="31"/>
  <c r="R36" i="31" s="1"/>
  <c r="K35" i="31"/>
  <c r="R35" i="31" s="1"/>
  <c r="R34" i="31"/>
  <c r="K33" i="31"/>
  <c r="K32" i="31"/>
  <c r="R32" i="31" s="1"/>
  <c r="F32" i="31"/>
  <c r="H31" i="31"/>
  <c r="C31" i="31" s="1"/>
  <c r="H30" i="31"/>
  <c r="C30" i="31" s="1"/>
  <c r="K29" i="31"/>
  <c r="R29" i="31" s="1"/>
  <c r="H29" i="31"/>
  <c r="K21" i="31" s="1"/>
  <c r="C29" i="31"/>
  <c r="K28" i="31"/>
  <c r="H28" i="31"/>
  <c r="C28" i="31" s="1"/>
  <c r="K27" i="31"/>
  <c r="H27" i="31"/>
  <c r="C27" i="31" s="1"/>
  <c r="H26" i="31"/>
  <c r="C26" i="31" s="1"/>
  <c r="H25" i="31"/>
  <c r="C25" i="31" s="1"/>
  <c r="H24" i="31"/>
  <c r="C24" i="31" s="1"/>
  <c r="H23" i="31"/>
  <c r="C23" i="31" s="1"/>
  <c r="H22" i="31"/>
  <c r="C22" i="31" s="1"/>
  <c r="H21" i="31"/>
  <c r="C21" i="31" s="1"/>
  <c r="K20" i="31"/>
  <c r="H20" i="31"/>
  <c r="C20" i="31" s="1"/>
  <c r="H19" i="31"/>
  <c r="C19" i="31" s="1"/>
  <c r="H18" i="31"/>
  <c r="C18" i="31" s="1"/>
  <c r="H17" i="31"/>
  <c r="C17" i="31" s="1"/>
  <c r="H16" i="31"/>
  <c r="C16" i="31" s="1"/>
  <c r="R15" i="31"/>
  <c r="H15" i="31"/>
  <c r="C15" i="31" s="1"/>
  <c r="H14" i="31"/>
  <c r="C14" i="31" s="1"/>
  <c r="H13" i="31"/>
  <c r="C13" i="31"/>
  <c r="H12" i="31"/>
  <c r="C12" i="31" s="1"/>
  <c r="H11" i="31"/>
  <c r="C11" i="31" s="1"/>
  <c r="H10" i="31"/>
  <c r="H9" i="31"/>
  <c r="K9" i="31" s="1"/>
  <c r="H8" i="31"/>
  <c r="K8" i="31" s="1"/>
  <c r="K26" i="31"/>
  <c r="H65" i="32" l="1"/>
  <c r="G70" i="31"/>
  <c r="K38" i="31" s="1"/>
  <c r="R38" i="31" s="1"/>
  <c r="K92" i="32"/>
  <c r="K93" i="32" s="1"/>
  <c r="H80" i="32"/>
  <c r="H58" i="32"/>
  <c r="Q56" i="34"/>
  <c r="K58" i="33"/>
  <c r="O58" i="33" s="1"/>
  <c r="B86" i="33" s="1"/>
  <c r="K31" i="32"/>
  <c r="R31" i="32" s="1"/>
  <c r="H32" i="32"/>
  <c r="C32" i="32" s="1"/>
  <c r="K15" i="32"/>
  <c r="K52" i="32"/>
  <c r="R52" i="32" s="1"/>
  <c r="H47" i="32"/>
  <c r="H59" i="32"/>
  <c r="K7" i="32"/>
  <c r="R7" i="32" s="1"/>
  <c r="C7" i="32"/>
  <c r="K17" i="32"/>
  <c r="R17" i="32" s="1"/>
  <c r="C40" i="32"/>
  <c r="C39" i="32"/>
  <c r="K47" i="32"/>
  <c r="H66" i="32"/>
  <c r="K18" i="32" s="1"/>
  <c r="K38" i="32"/>
  <c r="R38" i="32" s="1"/>
  <c r="G71" i="32"/>
  <c r="H71" i="32"/>
  <c r="K19" i="32"/>
  <c r="R19" i="32" s="1"/>
  <c r="F71" i="32"/>
  <c r="K48" i="32"/>
  <c r="R48" i="32" s="1"/>
  <c r="B48" i="32"/>
  <c r="K10" i="32"/>
  <c r="R10" i="32" s="1"/>
  <c r="K16" i="32"/>
  <c r="R16" i="32" s="1"/>
  <c r="R26" i="32"/>
  <c r="C37" i="32"/>
  <c r="C38" i="32"/>
  <c r="R46" i="32"/>
  <c r="H51" i="32"/>
  <c r="K12" i="32" s="1"/>
  <c r="R12" i="32" s="1"/>
  <c r="B53" i="32"/>
  <c r="B61" i="32" s="1"/>
  <c r="F61" i="32"/>
  <c r="K74" i="31"/>
  <c r="K92" i="31" s="1"/>
  <c r="K93" i="31" s="1"/>
  <c r="B61" i="31"/>
  <c r="K52" i="31"/>
  <c r="R52" i="31" s="1"/>
  <c r="H51" i="31"/>
  <c r="K12" i="31" s="1"/>
  <c r="R12" i="31" s="1"/>
  <c r="H59" i="31"/>
  <c r="F61" i="31"/>
  <c r="H60" i="31"/>
  <c r="B48" i="31"/>
  <c r="K48" i="31"/>
  <c r="R48" i="31" s="1"/>
  <c r="F71" i="31"/>
  <c r="R26" i="31"/>
  <c r="G71" i="31"/>
  <c r="H66" i="31"/>
  <c r="K18" i="31" s="1"/>
  <c r="K37" i="31"/>
  <c r="H80" i="31"/>
  <c r="H7" i="31"/>
  <c r="K17" i="31"/>
  <c r="R17" i="31" s="1"/>
  <c r="H38" i="31"/>
  <c r="C38" i="31" s="1"/>
  <c r="C39" i="31"/>
  <c r="C40" i="31"/>
  <c r="G61" i="31"/>
  <c r="H70" i="31"/>
  <c r="K10" i="31"/>
  <c r="R10" i="31" s="1"/>
  <c r="K16" i="31"/>
  <c r="R16" i="31" s="1"/>
  <c r="G32" i="31"/>
  <c r="B32" i="31"/>
  <c r="H37" i="31"/>
  <c r="C37" i="31" s="1"/>
  <c r="H65" i="31"/>
  <c r="R56" i="32" l="1"/>
  <c r="C47" i="32"/>
  <c r="R40" i="32"/>
  <c r="K40" i="32"/>
  <c r="R23" i="32"/>
  <c r="K56" i="32"/>
  <c r="K23" i="32"/>
  <c r="H61" i="32"/>
  <c r="B74" i="32"/>
  <c r="K15" i="31"/>
  <c r="H61" i="31"/>
  <c r="B74" i="31"/>
  <c r="C82" i="31" s="1"/>
  <c r="K40" i="31"/>
  <c r="R40" i="31"/>
  <c r="R56" i="31"/>
  <c r="H47" i="31"/>
  <c r="C47" i="31" s="1"/>
  <c r="K56" i="31"/>
  <c r="H32" i="31"/>
  <c r="C32" i="31" s="1"/>
  <c r="K7" i="31"/>
  <c r="C7" i="31"/>
  <c r="H71" i="31"/>
  <c r="K19" i="31"/>
  <c r="R19" i="31" s="1"/>
  <c r="B70" i="30"/>
  <c r="K58" i="32" l="1"/>
  <c r="O58" i="32" s="1"/>
  <c r="C82" i="32"/>
  <c r="B83" i="32"/>
  <c r="B83" i="31"/>
  <c r="K23" i="31"/>
  <c r="K58" i="31" s="1"/>
  <c r="O58" i="31" s="1"/>
  <c r="R7" i="31"/>
  <c r="R23" i="31" s="1"/>
  <c r="F32" i="30"/>
  <c r="B32" i="30"/>
  <c r="G7" i="30"/>
  <c r="H7" i="30" s="1"/>
  <c r="C7" i="30" s="1"/>
  <c r="B7" i="30"/>
  <c r="N58" i="30"/>
  <c r="K90" i="30"/>
  <c r="K84" i="30"/>
  <c r="K34" i="30" s="1"/>
  <c r="B79" i="30"/>
  <c r="G77" i="30"/>
  <c r="G79" i="30" s="1"/>
  <c r="G81" i="30" s="1"/>
  <c r="G70" i="30"/>
  <c r="H69" i="30"/>
  <c r="H70" i="30" s="1"/>
  <c r="G69" i="30"/>
  <c r="F69" i="30"/>
  <c r="K74" i="30"/>
  <c r="B66" i="30"/>
  <c r="B81" i="30" s="1"/>
  <c r="B82" i="30" s="1"/>
  <c r="G65" i="30"/>
  <c r="G66" i="30" s="1"/>
  <c r="F65" i="30"/>
  <c r="F66" i="30" s="1"/>
  <c r="K47" i="30" s="1"/>
  <c r="D64" i="30"/>
  <c r="G60" i="30"/>
  <c r="F60" i="30"/>
  <c r="H60" i="30" s="1"/>
  <c r="B60" i="30"/>
  <c r="M59" i="30"/>
  <c r="L59" i="30"/>
  <c r="G59" i="30"/>
  <c r="F59" i="30"/>
  <c r="B59" i="30"/>
  <c r="G58" i="30"/>
  <c r="F58" i="30"/>
  <c r="H58" i="30" s="1"/>
  <c r="B57" i="30"/>
  <c r="H57" i="30" s="1"/>
  <c r="H56" i="30"/>
  <c r="K55" i="30"/>
  <c r="H55" i="30"/>
  <c r="K54" i="30"/>
  <c r="R53" i="30"/>
  <c r="K53" i="30"/>
  <c r="G52" i="30"/>
  <c r="F52" i="30"/>
  <c r="B52" i="30"/>
  <c r="K51" i="30"/>
  <c r="G51" i="30"/>
  <c r="G61" i="30" s="1"/>
  <c r="F51" i="30"/>
  <c r="B51" i="30"/>
  <c r="B53" i="30" s="1"/>
  <c r="K50" i="30"/>
  <c r="R50" i="30" s="1"/>
  <c r="K49" i="30"/>
  <c r="G47" i="30"/>
  <c r="F47" i="30"/>
  <c r="B47" i="30"/>
  <c r="K46" i="30"/>
  <c r="R46" i="30" s="1"/>
  <c r="H46" i="30"/>
  <c r="C46" i="30" s="1"/>
  <c r="K45" i="30"/>
  <c r="H45" i="30"/>
  <c r="C45" i="30"/>
  <c r="K44" i="30"/>
  <c r="H44" i="30"/>
  <c r="C44" i="30" s="1"/>
  <c r="K43" i="30"/>
  <c r="R43" i="30" s="1"/>
  <c r="H43" i="30"/>
  <c r="C43" i="30" s="1"/>
  <c r="H42" i="30"/>
  <c r="C42" i="30" s="1"/>
  <c r="B40" i="30"/>
  <c r="H40" i="30" s="1"/>
  <c r="C40" i="30" s="1"/>
  <c r="K39" i="30"/>
  <c r="B39" i="30"/>
  <c r="H39" i="30" s="1"/>
  <c r="C39" i="30" s="1"/>
  <c r="B38" i="30"/>
  <c r="H38" i="30" s="1"/>
  <c r="B37" i="30"/>
  <c r="H37" i="30" s="1"/>
  <c r="K36" i="30"/>
  <c r="R36" i="30" s="1"/>
  <c r="K35" i="30"/>
  <c r="R35" i="30" s="1"/>
  <c r="R34" i="30"/>
  <c r="K33" i="30"/>
  <c r="K32" i="30"/>
  <c r="R32" i="30" s="1"/>
  <c r="H31" i="30"/>
  <c r="C31" i="30" s="1"/>
  <c r="H30" i="30"/>
  <c r="C30" i="30"/>
  <c r="K29" i="30"/>
  <c r="R29" i="30" s="1"/>
  <c r="H29" i="30"/>
  <c r="K21" i="30" s="1"/>
  <c r="K28" i="30"/>
  <c r="H28" i="30"/>
  <c r="C28" i="30" s="1"/>
  <c r="K27" i="30"/>
  <c r="H27" i="30"/>
  <c r="C27" i="30" s="1"/>
  <c r="K26" i="30"/>
  <c r="R26" i="30" s="1"/>
  <c r="H26" i="30"/>
  <c r="C26" i="30" s="1"/>
  <c r="H25" i="30"/>
  <c r="C25" i="30" s="1"/>
  <c r="H24" i="30"/>
  <c r="C24" i="30" s="1"/>
  <c r="H23" i="30"/>
  <c r="C23" i="30" s="1"/>
  <c r="H22" i="30"/>
  <c r="C22" i="30" s="1"/>
  <c r="H21" i="30"/>
  <c r="C21" i="30" s="1"/>
  <c r="K20" i="30"/>
  <c r="H20" i="30"/>
  <c r="C20" i="30" s="1"/>
  <c r="H19" i="30"/>
  <c r="C19" i="30" s="1"/>
  <c r="H18" i="30"/>
  <c r="C18" i="30" s="1"/>
  <c r="H17" i="30"/>
  <c r="C17" i="30" s="1"/>
  <c r="H16" i="30"/>
  <c r="K16" i="30" s="1"/>
  <c r="R16" i="30" s="1"/>
  <c r="R15" i="30"/>
  <c r="H15" i="30"/>
  <c r="C15" i="30" s="1"/>
  <c r="H14" i="30"/>
  <c r="C14" i="30" s="1"/>
  <c r="K13" i="30"/>
  <c r="R13" i="30" s="1"/>
  <c r="H13" i="30"/>
  <c r="C13" i="30" s="1"/>
  <c r="H12" i="30"/>
  <c r="C12" i="30" s="1"/>
  <c r="H11" i="30"/>
  <c r="C11" i="30" s="1"/>
  <c r="H10" i="30"/>
  <c r="H9" i="30"/>
  <c r="K9" i="30" s="1"/>
  <c r="H8" i="30"/>
  <c r="K8" i="30" s="1"/>
  <c r="H52" i="30" l="1"/>
  <c r="H59" i="30"/>
  <c r="H65" i="30"/>
  <c r="C29" i="30"/>
  <c r="G32" i="30"/>
  <c r="B86" i="32"/>
  <c r="B86" i="31"/>
  <c r="K31" i="30"/>
  <c r="R31" i="30" s="1"/>
  <c r="K92" i="30"/>
  <c r="K93" i="30" s="1"/>
  <c r="C16" i="30"/>
  <c r="K15" i="30"/>
  <c r="K52" i="30"/>
  <c r="R52" i="30" s="1"/>
  <c r="H47" i="30"/>
  <c r="H32" i="30"/>
  <c r="C32" i="30" s="1"/>
  <c r="B61" i="30"/>
  <c r="H61" i="30" s="1"/>
  <c r="H71" i="30"/>
  <c r="K19" i="30"/>
  <c r="R19" i="30" s="1"/>
  <c r="K38" i="30"/>
  <c r="R38" i="30" s="1"/>
  <c r="G71" i="30"/>
  <c r="H66" i="30"/>
  <c r="K18" i="30" s="1"/>
  <c r="K37" i="30"/>
  <c r="H80" i="30"/>
  <c r="K10" i="30"/>
  <c r="R10" i="30" s="1"/>
  <c r="K17" i="30"/>
  <c r="R17" i="30" s="1"/>
  <c r="C37" i="30"/>
  <c r="C38" i="30"/>
  <c r="H51" i="30"/>
  <c r="K12" i="30" s="1"/>
  <c r="R12" i="30" s="1"/>
  <c r="F61" i="30"/>
  <c r="F70" i="30"/>
  <c r="B48" i="30"/>
  <c r="K7" i="30"/>
  <c r="G59" i="29"/>
  <c r="G56" i="29"/>
  <c r="G44" i="29"/>
  <c r="G43" i="29"/>
  <c r="G24" i="29"/>
  <c r="G17" i="29"/>
  <c r="R40" i="30" l="1"/>
  <c r="K40" i="30"/>
  <c r="C47" i="30"/>
  <c r="B74" i="30"/>
  <c r="K23" i="30"/>
  <c r="R7" i="30"/>
  <c r="R23" i="30" s="1"/>
  <c r="K48" i="30"/>
  <c r="F71" i="30"/>
  <c r="O58" i="29"/>
  <c r="K88" i="29"/>
  <c r="K83" i="29"/>
  <c r="G80" i="29"/>
  <c r="B80" i="29"/>
  <c r="K76" i="29"/>
  <c r="B72" i="29"/>
  <c r="G71" i="29"/>
  <c r="G72" i="29" s="1"/>
  <c r="K38" i="29" s="1"/>
  <c r="H70" i="29"/>
  <c r="H71" i="29" s="1"/>
  <c r="H72" i="29" s="1"/>
  <c r="K19" i="29" s="1"/>
  <c r="G70" i="29"/>
  <c r="F70" i="29"/>
  <c r="F71" i="29" s="1"/>
  <c r="F72" i="29" s="1"/>
  <c r="K48" i="29" s="1"/>
  <c r="B67" i="29"/>
  <c r="G66" i="29"/>
  <c r="H66" i="29" s="1"/>
  <c r="F66" i="29"/>
  <c r="F67" i="29" s="1"/>
  <c r="K47" i="29" s="1"/>
  <c r="D65" i="29"/>
  <c r="G61" i="29"/>
  <c r="F61" i="29"/>
  <c r="B61" i="29"/>
  <c r="G60" i="29"/>
  <c r="F60" i="29"/>
  <c r="B60" i="29"/>
  <c r="H60" i="29" s="1"/>
  <c r="F59" i="29"/>
  <c r="K52" i="29" s="1"/>
  <c r="B58" i="29"/>
  <c r="H58" i="29" s="1"/>
  <c r="H57" i="29"/>
  <c r="W56" i="29"/>
  <c r="U56" i="29"/>
  <c r="S56" i="29"/>
  <c r="H56" i="29"/>
  <c r="K14" i="29" s="1"/>
  <c r="K55" i="29"/>
  <c r="K53" i="29"/>
  <c r="G53" i="29"/>
  <c r="F53" i="29"/>
  <c r="B53" i="29"/>
  <c r="G52" i="29"/>
  <c r="G62" i="29" s="1"/>
  <c r="F52" i="29"/>
  <c r="F62" i="29" s="1"/>
  <c r="B52" i="29"/>
  <c r="K51" i="29"/>
  <c r="K50" i="29"/>
  <c r="K49" i="29"/>
  <c r="G48" i="29"/>
  <c r="F48" i="29"/>
  <c r="B48" i="29"/>
  <c r="H47" i="29"/>
  <c r="C47" i="29" s="1"/>
  <c r="K46" i="29"/>
  <c r="H46" i="29"/>
  <c r="C46" i="29" s="1"/>
  <c r="H45" i="29"/>
  <c r="C45" i="29" s="1"/>
  <c r="K44" i="29"/>
  <c r="H44" i="29"/>
  <c r="C44" i="29" s="1"/>
  <c r="K43" i="29"/>
  <c r="H43" i="29"/>
  <c r="B41" i="29"/>
  <c r="H41" i="29" s="1"/>
  <c r="C41" i="29" s="1"/>
  <c r="B40" i="29"/>
  <c r="H40" i="29" s="1"/>
  <c r="C40" i="29" s="1"/>
  <c r="K39" i="29"/>
  <c r="B39" i="29"/>
  <c r="H39" i="29" s="1"/>
  <c r="C39" i="29" s="1"/>
  <c r="B38" i="29"/>
  <c r="K36" i="29"/>
  <c r="K35" i="29"/>
  <c r="K34" i="29"/>
  <c r="G33" i="29"/>
  <c r="F33" i="29"/>
  <c r="B33" i="29"/>
  <c r="K32" i="29"/>
  <c r="H32" i="29"/>
  <c r="C32" i="29" s="1"/>
  <c r="H31" i="29"/>
  <c r="K20" i="29" s="1"/>
  <c r="K30" i="29"/>
  <c r="H30" i="29"/>
  <c r="K21" i="29" s="1"/>
  <c r="K29" i="29"/>
  <c r="H29" i="29"/>
  <c r="K28" i="29"/>
  <c r="H28" i="29"/>
  <c r="K27" i="29"/>
  <c r="H27" i="29"/>
  <c r="K26" i="29"/>
  <c r="H26" i="29"/>
  <c r="H25" i="29"/>
  <c r="H24" i="29"/>
  <c r="H23" i="29"/>
  <c r="H22" i="29"/>
  <c r="H21" i="29"/>
  <c r="H20" i="29"/>
  <c r="H19" i="29"/>
  <c r="H18" i="29"/>
  <c r="H17" i="29"/>
  <c r="K16" i="29" s="1"/>
  <c r="H16" i="29"/>
  <c r="V15" i="29"/>
  <c r="U15" i="29"/>
  <c r="T15" i="29"/>
  <c r="X15" i="29" s="1"/>
  <c r="S15" i="29"/>
  <c r="R15" i="29"/>
  <c r="Q15" i="29"/>
  <c r="P15" i="29"/>
  <c r="H15" i="29"/>
  <c r="H14" i="29"/>
  <c r="V13" i="29"/>
  <c r="U13" i="29"/>
  <c r="T13" i="29"/>
  <c r="S13" i="29"/>
  <c r="R13" i="29"/>
  <c r="Q13" i="29"/>
  <c r="P13" i="29"/>
  <c r="H13" i="29"/>
  <c r="H12" i="29"/>
  <c r="V11" i="29"/>
  <c r="V16" i="29" s="1"/>
  <c r="U11" i="29"/>
  <c r="U16" i="29" s="1"/>
  <c r="T11" i="29"/>
  <c r="S11" i="29"/>
  <c r="S16" i="29" s="1"/>
  <c r="R11" i="29"/>
  <c r="R16" i="29" s="1"/>
  <c r="Q11" i="29"/>
  <c r="Q16" i="29" s="1"/>
  <c r="P11" i="29"/>
  <c r="H11" i="29"/>
  <c r="K15" i="29" s="1"/>
  <c r="H10" i="29"/>
  <c r="K11" i="29" s="1"/>
  <c r="H9" i="29"/>
  <c r="K9" i="29" s="1"/>
  <c r="X8" i="29"/>
  <c r="W8" i="29"/>
  <c r="P8" i="29"/>
  <c r="H8" i="29"/>
  <c r="X7" i="29"/>
  <c r="W7" i="29"/>
  <c r="W6" i="29" s="1"/>
  <c r="P7" i="29"/>
  <c r="H7" i="29"/>
  <c r="K7" i="29" s="1"/>
  <c r="V6" i="29"/>
  <c r="U6" i="29"/>
  <c r="T6" i="29"/>
  <c r="S6" i="29"/>
  <c r="R6" i="29"/>
  <c r="Q6" i="29"/>
  <c r="X13" i="29" l="1"/>
  <c r="W15" i="29"/>
  <c r="K10" i="29"/>
  <c r="X6" i="29"/>
  <c r="T16" i="29"/>
  <c r="H61" i="29"/>
  <c r="X11" i="29"/>
  <c r="X16" i="29" s="1"/>
  <c r="W13" i="29"/>
  <c r="H81" i="29"/>
  <c r="C82" i="30"/>
  <c r="B83" i="30"/>
  <c r="R48" i="30"/>
  <c r="R56" i="30" s="1"/>
  <c r="K56" i="30"/>
  <c r="K58" i="30" s="1"/>
  <c r="O58" i="30" s="1"/>
  <c r="B82" i="29"/>
  <c r="B83" i="29" s="1"/>
  <c r="C43" i="29"/>
  <c r="B49" i="29"/>
  <c r="H38" i="29"/>
  <c r="C38" i="29" s="1"/>
  <c r="K17" i="29"/>
  <c r="K31" i="29"/>
  <c r="H52" i="29"/>
  <c r="K56" i="29"/>
  <c r="H53" i="29"/>
  <c r="H33" i="29"/>
  <c r="C33" i="29" s="1"/>
  <c r="B54" i="29"/>
  <c r="B62" i="29" s="1"/>
  <c r="H62" i="29" s="1"/>
  <c r="H48" i="29"/>
  <c r="H59" i="29"/>
  <c r="K8" i="29"/>
  <c r="W11" i="29"/>
  <c r="G67" i="29"/>
  <c r="K37" i="29" s="1"/>
  <c r="H67" i="29"/>
  <c r="K18" i="29" s="1"/>
  <c r="K66" i="28"/>
  <c r="W16" i="29" l="1"/>
  <c r="B86" i="30"/>
  <c r="C48" i="29"/>
  <c r="K40" i="29"/>
  <c r="B75" i="29"/>
  <c r="C83" i="29" s="1"/>
  <c r="K12" i="29"/>
  <c r="K23" i="29" s="1"/>
  <c r="B32" i="28"/>
  <c r="B70" i="28"/>
  <c r="H70" i="28" s="1"/>
  <c r="B79" i="28"/>
  <c r="H80" i="28" s="1"/>
  <c r="N58" i="28"/>
  <c r="K90" i="28"/>
  <c r="K49" i="28" s="1"/>
  <c r="K84" i="28"/>
  <c r="K34" i="28" s="1"/>
  <c r="G77" i="28"/>
  <c r="G79" i="28" s="1"/>
  <c r="G81" i="28" s="1"/>
  <c r="H69" i="28"/>
  <c r="G69" i="28"/>
  <c r="F69" i="28"/>
  <c r="K74" i="28"/>
  <c r="B66" i="28"/>
  <c r="G65" i="28"/>
  <c r="H65" i="28" s="1"/>
  <c r="F65" i="28"/>
  <c r="F66" i="28" s="1"/>
  <c r="K47" i="28" s="1"/>
  <c r="D64" i="28"/>
  <c r="G60" i="28"/>
  <c r="F60" i="28"/>
  <c r="B60" i="28"/>
  <c r="M59" i="28"/>
  <c r="L59" i="28"/>
  <c r="G59" i="28"/>
  <c r="F59" i="28"/>
  <c r="B59" i="28"/>
  <c r="G58" i="28"/>
  <c r="F58" i="28"/>
  <c r="H58" i="28" s="1"/>
  <c r="B57" i="28"/>
  <c r="H57" i="28" s="1"/>
  <c r="H56" i="28"/>
  <c r="K55" i="28"/>
  <c r="H55" i="28"/>
  <c r="K13" i="28" s="1"/>
  <c r="R13" i="28" s="1"/>
  <c r="K54" i="28"/>
  <c r="K53" i="28"/>
  <c r="R53" i="28" s="1"/>
  <c r="G52" i="28"/>
  <c r="F52" i="28"/>
  <c r="B52" i="28"/>
  <c r="K51" i="28"/>
  <c r="G51" i="28"/>
  <c r="G61" i="28" s="1"/>
  <c r="F51" i="28"/>
  <c r="F61" i="28" s="1"/>
  <c r="B51" i="28"/>
  <c r="B53" i="28" s="1"/>
  <c r="K50" i="28"/>
  <c r="R50" i="28" s="1"/>
  <c r="G47" i="28"/>
  <c r="F47" i="28"/>
  <c r="B47" i="28"/>
  <c r="K46" i="28"/>
  <c r="R46" i="28" s="1"/>
  <c r="H46" i="28"/>
  <c r="C46" i="28" s="1"/>
  <c r="K45" i="28"/>
  <c r="H45" i="28"/>
  <c r="C45" i="28" s="1"/>
  <c r="K44" i="28"/>
  <c r="H44" i="28"/>
  <c r="C44" i="28" s="1"/>
  <c r="K43" i="28"/>
  <c r="R43" i="28" s="1"/>
  <c r="H43" i="28"/>
  <c r="C43" i="28" s="1"/>
  <c r="H42" i="28"/>
  <c r="C42" i="28" s="1"/>
  <c r="B40" i="28"/>
  <c r="H40" i="28" s="1"/>
  <c r="K39" i="28"/>
  <c r="B39" i="28"/>
  <c r="H39" i="28" s="1"/>
  <c r="B38" i="28"/>
  <c r="H38" i="28" s="1"/>
  <c r="C38" i="28" s="1"/>
  <c r="B37" i="28"/>
  <c r="K36" i="28"/>
  <c r="R36" i="28" s="1"/>
  <c r="K35" i="28"/>
  <c r="R35" i="28" s="1"/>
  <c r="R34" i="28"/>
  <c r="K33" i="28"/>
  <c r="K32" i="28"/>
  <c r="R32" i="28" s="1"/>
  <c r="G32" i="28"/>
  <c r="F32" i="28"/>
  <c r="H31" i="28"/>
  <c r="C31" i="28" s="1"/>
  <c r="H30" i="28"/>
  <c r="C30" i="28" s="1"/>
  <c r="K29" i="28"/>
  <c r="R29" i="28" s="1"/>
  <c r="H29" i="28"/>
  <c r="C29" i="28" s="1"/>
  <c r="K28" i="28"/>
  <c r="H28" i="28"/>
  <c r="C28" i="28" s="1"/>
  <c r="K27" i="28"/>
  <c r="H27" i="28"/>
  <c r="C27" i="28" s="1"/>
  <c r="K26" i="28"/>
  <c r="R26" i="28" s="1"/>
  <c r="H26" i="28"/>
  <c r="C26" i="28" s="1"/>
  <c r="H25" i="28"/>
  <c r="C25" i="28" s="1"/>
  <c r="H24" i="28"/>
  <c r="C24" i="28" s="1"/>
  <c r="H23" i="28"/>
  <c r="C23" i="28" s="1"/>
  <c r="H22" i="28"/>
  <c r="C22" i="28"/>
  <c r="H21" i="28"/>
  <c r="C21" i="28" s="1"/>
  <c r="H20" i="28"/>
  <c r="C20" i="28" s="1"/>
  <c r="H19" i="28"/>
  <c r="C19" i="28" s="1"/>
  <c r="H18" i="28"/>
  <c r="C18" i="28" s="1"/>
  <c r="H17" i="28"/>
  <c r="C17" i="28" s="1"/>
  <c r="H16" i="28"/>
  <c r="C16" i="28" s="1"/>
  <c r="R15" i="28"/>
  <c r="H15" i="28"/>
  <c r="C15" i="28" s="1"/>
  <c r="H14" i="28"/>
  <c r="C14" i="28" s="1"/>
  <c r="H13" i="28"/>
  <c r="C13" i="28" s="1"/>
  <c r="H12" i="28"/>
  <c r="C12" i="28" s="1"/>
  <c r="H11" i="28"/>
  <c r="C11" i="28" s="1"/>
  <c r="H10" i="28"/>
  <c r="H9" i="28"/>
  <c r="K9" i="28" s="1"/>
  <c r="H8" i="28"/>
  <c r="K8" i="28" s="1"/>
  <c r="H7" i="28"/>
  <c r="C7" i="28" s="1"/>
  <c r="B84" i="29" l="1"/>
  <c r="B81" i="28"/>
  <c r="B82" i="28" s="1"/>
  <c r="K58" i="29"/>
  <c r="Q56" i="29" s="1"/>
  <c r="H71" i="28"/>
  <c r="K19" i="28"/>
  <c r="R19" i="28" s="1"/>
  <c r="G70" i="28"/>
  <c r="G71" i="28" s="1"/>
  <c r="F70" i="28"/>
  <c r="K48" i="28" s="1"/>
  <c r="R48" i="28" s="1"/>
  <c r="R56" i="28" s="1"/>
  <c r="B61" i="28"/>
  <c r="H61" i="28" s="1"/>
  <c r="B48" i="28"/>
  <c r="K10" i="28"/>
  <c r="R10" i="28" s="1"/>
  <c r="H59" i="28"/>
  <c r="K31" i="28"/>
  <c r="R31" i="28" s="1"/>
  <c r="H60" i="28"/>
  <c r="H51" i="28"/>
  <c r="K12" i="28" s="1"/>
  <c r="R12" i="28" s="1"/>
  <c r="K52" i="28"/>
  <c r="R52" i="28" s="1"/>
  <c r="K17" i="28"/>
  <c r="R17" i="28" s="1"/>
  <c r="K21" i="28"/>
  <c r="K16" i="28"/>
  <c r="R16" i="28" s="1"/>
  <c r="K20" i="28"/>
  <c r="H52" i="28"/>
  <c r="K92" i="28"/>
  <c r="K93" i="28" s="1"/>
  <c r="K15" i="28"/>
  <c r="H37" i="28"/>
  <c r="C39" i="28"/>
  <c r="C40" i="28"/>
  <c r="G66" i="28"/>
  <c r="K37" i="28" s="1"/>
  <c r="K7" i="28"/>
  <c r="K38" i="28"/>
  <c r="R38" i="28" s="1"/>
  <c r="H32" i="28"/>
  <c r="C32" i="28" s="1"/>
  <c r="B7" i="27"/>
  <c r="O58" i="27"/>
  <c r="K88" i="27"/>
  <c r="K83" i="27"/>
  <c r="K34" i="27" s="1"/>
  <c r="G80" i="27"/>
  <c r="B80" i="27"/>
  <c r="K76" i="27"/>
  <c r="B72" i="27"/>
  <c r="G71" i="27"/>
  <c r="G72" i="27" s="1"/>
  <c r="K38" i="27" s="1"/>
  <c r="H70" i="27"/>
  <c r="H71" i="27" s="1"/>
  <c r="H72" i="27" s="1"/>
  <c r="K19" i="27" s="1"/>
  <c r="G70" i="27"/>
  <c r="F70" i="27"/>
  <c r="F71" i="27" s="1"/>
  <c r="F72" i="27" s="1"/>
  <c r="K48" i="27" s="1"/>
  <c r="B67" i="27"/>
  <c r="B82" i="27" s="1"/>
  <c r="B83" i="27" s="1"/>
  <c r="G66" i="27"/>
  <c r="G67" i="27" s="1"/>
  <c r="F66" i="27"/>
  <c r="F67" i="27" s="1"/>
  <c r="K47" i="27" s="1"/>
  <c r="D65" i="27"/>
  <c r="G61" i="27"/>
  <c r="F61" i="27"/>
  <c r="H61" i="27" s="1"/>
  <c r="B61" i="27"/>
  <c r="G60" i="27"/>
  <c r="F60" i="27"/>
  <c r="H60" i="27" s="1"/>
  <c r="B60" i="27"/>
  <c r="G59" i="27"/>
  <c r="F59" i="27"/>
  <c r="B58" i="27"/>
  <c r="H58" i="27" s="1"/>
  <c r="H57" i="27"/>
  <c r="W56" i="27"/>
  <c r="U56" i="27"/>
  <c r="S56" i="27"/>
  <c r="H56" i="27"/>
  <c r="K14" i="27" s="1"/>
  <c r="K55" i="27"/>
  <c r="K53" i="27"/>
  <c r="G53" i="27"/>
  <c r="F53" i="27"/>
  <c r="B53" i="27"/>
  <c r="G52" i="27"/>
  <c r="G62" i="27" s="1"/>
  <c r="F52" i="27"/>
  <c r="F62" i="27" s="1"/>
  <c r="B52" i="27"/>
  <c r="K51" i="27"/>
  <c r="K50" i="27"/>
  <c r="K49" i="27"/>
  <c r="G48" i="27"/>
  <c r="F48" i="27"/>
  <c r="B48" i="27"/>
  <c r="H47" i="27"/>
  <c r="C47" i="27" s="1"/>
  <c r="K46" i="27"/>
  <c r="H46" i="27"/>
  <c r="C46" i="27" s="1"/>
  <c r="H45" i="27"/>
  <c r="C45" i="27" s="1"/>
  <c r="K44" i="27"/>
  <c r="H44" i="27"/>
  <c r="C44" i="27" s="1"/>
  <c r="K43" i="27"/>
  <c r="H43" i="27"/>
  <c r="C43" i="27" s="1"/>
  <c r="B41" i="27"/>
  <c r="H41" i="27" s="1"/>
  <c r="C41" i="27" s="1"/>
  <c r="B40" i="27"/>
  <c r="H40" i="27" s="1"/>
  <c r="C40" i="27" s="1"/>
  <c r="K39" i="27"/>
  <c r="B39" i="27"/>
  <c r="H39" i="27" s="1"/>
  <c r="C39" i="27" s="1"/>
  <c r="B38" i="27"/>
  <c r="B49" i="27" s="1"/>
  <c r="K36" i="27"/>
  <c r="K35" i="27"/>
  <c r="G33" i="27"/>
  <c r="F33" i="27"/>
  <c r="B33" i="27"/>
  <c r="K32" i="27"/>
  <c r="H32" i="27"/>
  <c r="C32" i="27" s="1"/>
  <c r="H31" i="27"/>
  <c r="K20" i="27" s="1"/>
  <c r="K30" i="27"/>
  <c r="H30" i="27"/>
  <c r="K29" i="27"/>
  <c r="H29" i="27"/>
  <c r="K28" i="27"/>
  <c r="H28" i="27"/>
  <c r="K27" i="27"/>
  <c r="H27" i="27"/>
  <c r="K26" i="27"/>
  <c r="H26" i="27"/>
  <c r="H25" i="27"/>
  <c r="H24" i="27"/>
  <c r="H23" i="27"/>
  <c r="H22" i="27"/>
  <c r="K21" i="27"/>
  <c r="H21" i="27"/>
  <c r="H20" i="27"/>
  <c r="H19" i="27"/>
  <c r="H18" i="27"/>
  <c r="H17" i="27"/>
  <c r="K16" i="27" s="1"/>
  <c r="H16" i="27"/>
  <c r="V15" i="27"/>
  <c r="U15" i="27"/>
  <c r="T15" i="27"/>
  <c r="S15" i="27"/>
  <c r="R15" i="27"/>
  <c r="Q15" i="27"/>
  <c r="P15" i="27"/>
  <c r="H15" i="27"/>
  <c r="H14" i="27"/>
  <c r="V13" i="27"/>
  <c r="V16" i="27" s="1"/>
  <c r="U13" i="27"/>
  <c r="T13" i="27"/>
  <c r="S13" i="27"/>
  <c r="R13" i="27"/>
  <c r="Q13" i="27"/>
  <c r="P13" i="27"/>
  <c r="H13" i="27"/>
  <c r="H12" i="27"/>
  <c r="V11" i="27"/>
  <c r="U11" i="27"/>
  <c r="U16" i="27" s="1"/>
  <c r="T11" i="27"/>
  <c r="X11" i="27" s="1"/>
  <c r="S11" i="27"/>
  <c r="S16" i="27" s="1"/>
  <c r="R11" i="27"/>
  <c r="R16" i="27" s="1"/>
  <c r="Q11" i="27"/>
  <c r="Q16" i="27" s="1"/>
  <c r="P11" i="27"/>
  <c r="H11" i="27"/>
  <c r="K15" i="27" s="1"/>
  <c r="H10" i="27"/>
  <c r="K11" i="27" s="1"/>
  <c r="H9" i="27"/>
  <c r="K9" i="27" s="1"/>
  <c r="X8" i="27"/>
  <c r="W8" i="27"/>
  <c r="P8" i="27"/>
  <c r="H8" i="27"/>
  <c r="K8" i="27" s="1"/>
  <c r="X7" i="27"/>
  <c r="W7" i="27"/>
  <c r="P7" i="27"/>
  <c r="H7" i="27"/>
  <c r="K7" i="27" s="1"/>
  <c r="V6" i="27"/>
  <c r="U6" i="27"/>
  <c r="T6" i="27"/>
  <c r="S6" i="27"/>
  <c r="R6" i="27"/>
  <c r="Q6" i="27"/>
  <c r="K17" i="27" l="1"/>
  <c r="X13" i="27"/>
  <c r="W15" i="27"/>
  <c r="H53" i="27"/>
  <c r="H66" i="27"/>
  <c r="F71" i="28"/>
  <c r="W13" i="27"/>
  <c r="X15" i="27"/>
  <c r="B54" i="27"/>
  <c r="B62" i="27" s="1"/>
  <c r="H62" i="27" s="1"/>
  <c r="H81" i="27"/>
  <c r="H66" i="28"/>
  <c r="K18" i="28" s="1"/>
  <c r="B74" i="28"/>
  <c r="B83" i="28" s="1"/>
  <c r="Y58" i="29"/>
  <c r="R40" i="28"/>
  <c r="C82" i="28"/>
  <c r="K40" i="28"/>
  <c r="K56" i="28"/>
  <c r="C37" i="28"/>
  <c r="H47" i="28"/>
  <c r="C47" i="28" s="1"/>
  <c r="R7" i="28"/>
  <c r="R23" i="28" s="1"/>
  <c r="K23" i="28"/>
  <c r="H59" i="27"/>
  <c r="K10" i="27"/>
  <c r="K52" i="27"/>
  <c r="K56" i="27" s="1"/>
  <c r="H33" i="27"/>
  <c r="C33" i="27" s="1"/>
  <c r="H67" i="27"/>
  <c r="K18" i="27" s="1"/>
  <c r="K37" i="27"/>
  <c r="X16" i="27"/>
  <c r="H38" i="27"/>
  <c r="H52" i="27"/>
  <c r="W6" i="27"/>
  <c r="K31" i="27"/>
  <c r="K40" i="27" s="1"/>
  <c r="X6" i="27"/>
  <c r="W11" i="27"/>
  <c r="W16" i="27" s="1"/>
  <c r="T16" i="27"/>
  <c r="K66" i="26"/>
  <c r="B7" i="26"/>
  <c r="B32" i="26"/>
  <c r="V25" i="26"/>
  <c r="B75" i="27" l="1"/>
  <c r="C83" i="27" s="1"/>
  <c r="K58" i="28"/>
  <c r="O58" i="28" s="1"/>
  <c r="B86" i="28" s="1"/>
  <c r="K12" i="27"/>
  <c r="K23" i="27" s="1"/>
  <c r="K58" i="27" s="1"/>
  <c r="Y58" i="27" s="1"/>
  <c r="H48" i="27"/>
  <c r="C48" i="27" s="1"/>
  <c r="C38" i="27"/>
  <c r="B84" i="27"/>
  <c r="V20" i="26"/>
  <c r="V23" i="26"/>
  <c r="B47" i="26"/>
  <c r="N58" i="26"/>
  <c r="K43" i="26"/>
  <c r="K26" i="26"/>
  <c r="Q56" i="27" l="1"/>
  <c r="K90" i="26"/>
  <c r="K49" i="26" s="1"/>
  <c r="K84" i="26"/>
  <c r="K34" i="26" s="1"/>
  <c r="B79" i="26"/>
  <c r="G77" i="26"/>
  <c r="G79" i="26" s="1"/>
  <c r="G81" i="26" s="1"/>
  <c r="F70" i="26"/>
  <c r="H69" i="26"/>
  <c r="G69" i="26"/>
  <c r="G70" i="26" s="1"/>
  <c r="F69" i="26"/>
  <c r="G66" i="26"/>
  <c r="K37" i="26" s="1"/>
  <c r="B66" i="26"/>
  <c r="G65" i="26"/>
  <c r="F65" i="26"/>
  <c r="F66" i="26" s="1"/>
  <c r="K47" i="26" s="1"/>
  <c r="D64" i="26"/>
  <c r="K74" i="26"/>
  <c r="G60" i="26"/>
  <c r="F60" i="26"/>
  <c r="B60" i="26"/>
  <c r="M59" i="26"/>
  <c r="L59" i="26"/>
  <c r="G59" i="26"/>
  <c r="F59" i="26"/>
  <c r="B59" i="26"/>
  <c r="G58" i="26"/>
  <c r="F58" i="26"/>
  <c r="H58" i="26" s="1"/>
  <c r="B57" i="26"/>
  <c r="H57" i="26" s="1"/>
  <c r="H56" i="26"/>
  <c r="K55" i="26"/>
  <c r="H55" i="26"/>
  <c r="K13" i="26" s="1"/>
  <c r="R13" i="26" s="1"/>
  <c r="K54" i="26"/>
  <c r="K53" i="26"/>
  <c r="R53" i="26" s="1"/>
  <c r="G52" i="26"/>
  <c r="F52" i="26"/>
  <c r="B52" i="26"/>
  <c r="K51" i="26"/>
  <c r="G51" i="26"/>
  <c r="G61" i="26" s="1"/>
  <c r="F51" i="26"/>
  <c r="B51" i="26"/>
  <c r="B53" i="26" s="1"/>
  <c r="K50" i="26"/>
  <c r="R50" i="26" s="1"/>
  <c r="G47" i="26"/>
  <c r="F47" i="26"/>
  <c r="K46" i="26"/>
  <c r="H46" i="26"/>
  <c r="C46" i="26" s="1"/>
  <c r="K45" i="26"/>
  <c r="H45" i="26"/>
  <c r="C45" i="26" s="1"/>
  <c r="K44" i="26"/>
  <c r="H44" i="26"/>
  <c r="C44" i="26" s="1"/>
  <c r="R43" i="26"/>
  <c r="H43" i="26"/>
  <c r="C43" i="26" s="1"/>
  <c r="H42" i="26"/>
  <c r="C42" i="26" s="1"/>
  <c r="B40" i="26"/>
  <c r="H40" i="26" s="1"/>
  <c r="K39" i="26"/>
  <c r="B39" i="26"/>
  <c r="H39" i="26" s="1"/>
  <c r="B38" i="26"/>
  <c r="H38" i="26" s="1"/>
  <c r="B37" i="26"/>
  <c r="K36" i="26"/>
  <c r="R36" i="26" s="1"/>
  <c r="K35" i="26"/>
  <c r="R35" i="26" s="1"/>
  <c r="R34" i="26"/>
  <c r="K33" i="26"/>
  <c r="K32" i="26"/>
  <c r="R32" i="26" s="1"/>
  <c r="G32" i="26"/>
  <c r="F32" i="26"/>
  <c r="H31" i="26"/>
  <c r="C31" i="26" s="1"/>
  <c r="H30" i="26"/>
  <c r="K20" i="26" s="1"/>
  <c r="K29" i="26"/>
  <c r="R29" i="26" s="1"/>
  <c r="H29" i="26"/>
  <c r="K21" i="26" s="1"/>
  <c r="K28" i="26"/>
  <c r="H28" i="26"/>
  <c r="C28" i="26" s="1"/>
  <c r="K27" i="26"/>
  <c r="H27" i="26"/>
  <c r="C27" i="26" s="1"/>
  <c r="H26" i="26"/>
  <c r="C26" i="26" s="1"/>
  <c r="H25" i="26"/>
  <c r="C25" i="26" s="1"/>
  <c r="H24" i="26"/>
  <c r="C24" i="26" s="1"/>
  <c r="H23" i="26"/>
  <c r="C23" i="26"/>
  <c r="H22" i="26"/>
  <c r="C22" i="26" s="1"/>
  <c r="H21" i="26"/>
  <c r="C21" i="26" s="1"/>
  <c r="H20" i="26"/>
  <c r="C20" i="26" s="1"/>
  <c r="H19" i="26"/>
  <c r="C19" i="26" s="1"/>
  <c r="H18" i="26"/>
  <c r="C18" i="26" s="1"/>
  <c r="H17" i="26"/>
  <c r="C17" i="26" s="1"/>
  <c r="H16" i="26"/>
  <c r="C16" i="26" s="1"/>
  <c r="R15" i="26"/>
  <c r="H15" i="26"/>
  <c r="C15" i="26" s="1"/>
  <c r="H14" i="26"/>
  <c r="C14" i="26" s="1"/>
  <c r="H13" i="26"/>
  <c r="C13" i="26" s="1"/>
  <c r="H12" i="26"/>
  <c r="C12" i="26" s="1"/>
  <c r="H11" i="26"/>
  <c r="C11" i="26" s="1"/>
  <c r="H10" i="26"/>
  <c r="H9" i="26"/>
  <c r="K9" i="26" s="1"/>
  <c r="H8" i="26"/>
  <c r="H7" i="26"/>
  <c r="H65" i="26" l="1"/>
  <c r="C30" i="26"/>
  <c r="B81" i="26"/>
  <c r="B82" i="26" s="1"/>
  <c r="B48" i="26"/>
  <c r="C7" i="26"/>
  <c r="K7" i="26"/>
  <c r="R7" i="26" s="1"/>
  <c r="H60" i="26"/>
  <c r="K92" i="26"/>
  <c r="K93" i="26" s="1"/>
  <c r="H80" i="26"/>
  <c r="K52" i="26"/>
  <c r="R52" i="26" s="1"/>
  <c r="K31" i="26"/>
  <c r="R31" i="26" s="1"/>
  <c r="H32" i="26"/>
  <c r="C32" i="26" s="1"/>
  <c r="H52" i="26"/>
  <c r="H59" i="26"/>
  <c r="F61" i="26"/>
  <c r="C29" i="26"/>
  <c r="B61" i="26"/>
  <c r="H61" i="26" s="1"/>
  <c r="G71" i="26"/>
  <c r="K38" i="26"/>
  <c r="R38" i="26" s="1"/>
  <c r="F71" i="26"/>
  <c r="K48" i="26"/>
  <c r="R48" i="26" s="1"/>
  <c r="K15" i="26"/>
  <c r="K8" i="26"/>
  <c r="K10" i="26"/>
  <c r="R10" i="26" s="1"/>
  <c r="K16" i="26"/>
  <c r="R16" i="26" s="1"/>
  <c r="K17" i="26"/>
  <c r="R17" i="26" s="1"/>
  <c r="R26" i="26"/>
  <c r="C38" i="26"/>
  <c r="R46" i="26"/>
  <c r="H51" i="26"/>
  <c r="K12" i="26" s="1"/>
  <c r="R12" i="26" s="1"/>
  <c r="H66" i="26"/>
  <c r="K18" i="26" s="1"/>
  <c r="H70" i="26"/>
  <c r="H37" i="26"/>
  <c r="H47" i="26" s="1"/>
  <c r="C47" i="26" s="1"/>
  <c r="C39" i="26"/>
  <c r="C40" i="26"/>
  <c r="O58" i="24"/>
  <c r="R40" i="26" l="1"/>
  <c r="K56" i="26"/>
  <c r="R56" i="26"/>
  <c r="B74" i="26"/>
  <c r="C82" i="26" s="1"/>
  <c r="H71" i="26"/>
  <c r="K19" i="26"/>
  <c r="R19" i="26" s="1"/>
  <c r="R23" i="26" s="1"/>
  <c r="C37" i="26"/>
  <c r="K40" i="26"/>
  <c r="R15" i="25"/>
  <c r="K62" i="25"/>
  <c r="K74" i="25" s="1"/>
  <c r="K66" i="25"/>
  <c r="K65" i="25"/>
  <c r="N58" i="25"/>
  <c r="B70" i="25"/>
  <c r="B80" i="25"/>
  <c r="K90" i="25"/>
  <c r="K84" i="25"/>
  <c r="K34" i="25" s="1"/>
  <c r="B79" i="25"/>
  <c r="G77" i="25"/>
  <c r="G79" i="25" s="1"/>
  <c r="G81" i="25" s="1"/>
  <c r="H69" i="25"/>
  <c r="G69" i="25"/>
  <c r="F69" i="25"/>
  <c r="B66" i="25"/>
  <c r="B81" i="25" s="1"/>
  <c r="G65" i="25"/>
  <c r="G66" i="25" s="1"/>
  <c r="K37" i="25" s="1"/>
  <c r="F65" i="25"/>
  <c r="F66" i="25" s="1"/>
  <c r="K47" i="25" s="1"/>
  <c r="D64" i="25"/>
  <c r="G60" i="25"/>
  <c r="F60" i="25"/>
  <c r="B60" i="25"/>
  <c r="M59" i="25"/>
  <c r="L59" i="25"/>
  <c r="G59" i="25"/>
  <c r="F59" i="25"/>
  <c r="B59" i="25"/>
  <c r="H59" i="25" s="1"/>
  <c r="G58" i="25"/>
  <c r="F58" i="25"/>
  <c r="H58" i="25" s="1"/>
  <c r="B57" i="25"/>
  <c r="H57" i="25" s="1"/>
  <c r="H56" i="25"/>
  <c r="K55" i="25"/>
  <c r="H55" i="25"/>
  <c r="K13" i="25" s="1"/>
  <c r="R13" i="25" s="1"/>
  <c r="K54" i="25"/>
  <c r="K53" i="25"/>
  <c r="R53" i="25" s="1"/>
  <c r="G52" i="25"/>
  <c r="F52" i="25"/>
  <c r="B52" i="25"/>
  <c r="K51" i="25"/>
  <c r="G51" i="25"/>
  <c r="F51" i="25"/>
  <c r="F61" i="25" s="1"/>
  <c r="B51" i="25"/>
  <c r="B53" i="25" s="1"/>
  <c r="K50" i="25"/>
  <c r="R50" i="25" s="1"/>
  <c r="K49" i="25"/>
  <c r="G47" i="25"/>
  <c r="F47" i="25"/>
  <c r="B47" i="25"/>
  <c r="K46" i="25"/>
  <c r="R46" i="25" s="1"/>
  <c r="H46" i="25"/>
  <c r="C46" i="25" s="1"/>
  <c r="K45" i="25"/>
  <c r="H45" i="25"/>
  <c r="C45" i="25" s="1"/>
  <c r="K44" i="25"/>
  <c r="H44" i="25"/>
  <c r="C44" i="25"/>
  <c r="K43" i="25"/>
  <c r="R43" i="25" s="1"/>
  <c r="H43" i="25"/>
  <c r="C43" i="25" s="1"/>
  <c r="H42" i="25"/>
  <c r="C42" i="25" s="1"/>
  <c r="B40" i="25"/>
  <c r="H40" i="25" s="1"/>
  <c r="K39" i="25"/>
  <c r="B39" i="25"/>
  <c r="H39" i="25" s="1"/>
  <c r="B38" i="25"/>
  <c r="B37" i="25"/>
  <c r="H37" i="25" s="1"/>
  <c r="K36" i="25"/>
  <c r="R36" i="25" s="1"/>
  <c r="K35" i="25"/>
  <c r="R35" i="25" s="1"/>
  <c r="R34" i="25"/>
  <c r="K33" i="25"/>
  <c r="K32" i="25"/>
  <c r="R32" i="25" s="1"/>
  <c r="G32" i="25"/>
  <c r="F32" i="25"/>
  <c r="B32" i="25"/>
  <c r="H31" i="25"/>
  <c r="C31" i="25" s="1"/>
  <c r="H30" i="25"/>
  <c r="C30" i="25" s="1"/>
  <c r="K29" i="25"/>
  <c r="R29" i="25" s="1"/>
  <c r="H29" i="25"/>
  <c r="K21" i="25" s="1"/>
  <c r="K28" i="25"/>
  <c r="H28" i="25"/>
  <c r="C28" i="25" s="1"/>
  <c r="K27" i="25"/>
  <c r="H27" i="25"/>
  <c r="C27" i="25"/>
  <c r="K26" i="25"/>
  <c r="R26" i="25" s="1"/>
  <c r="H26" i="25"/>
  <c r="C26" i="25" s="1"/>
  <c r="H25" i="25"/>
  <c r="C25" i="25" s="1"/>
  <c r="H24" i="25"/>
  <c r="C24" i="25" s="1"/>
  <c r="H23" i="25"/>
  <c r="C23" i="25" s="1"/>
  <c r="H22" i="25"/>
  <c r="C22" i="25" s="1"/>
  <c r="H21" i="25"/>
  <c r="C21" i="25" s="1"/>
  <c r="K20" i="25"/>
  <c r="H20" i="25"/>
  <c r="C20" i="25"/>
  <c r="H19" i="25"/>
  <c r="C19" i="25" s="1"/>
  <c r="H18" i="25"/>
  <c r="C18" i="25" s="1"/>
  <c r="H17" i="25"/>
  <c r="C17" i="25" s="1"/>
  <c r="H16" i="25"/>
  <c r="C16" i="25" s="1"/>
  <c r="H15" i="25"/>
  <c r="C15" i="25" s="1"/>
  <c r="H14" i="25"/>
  <c r="C14" i="25" s="1"/>
  <c r="H13" i="25"/>
  <c r="C13" i="25" s="1"/>
  <c r="H12" i="25"/>
  <c r="C12" i="25" s="1"/>
  <c r="H11" i="25"/>
  <c r="C11" i="25" s="1"/>
  <c r="H10" i="25"/>
  <c r="H9" i="25"/>
  <c r="K9" i="25" s="1"/>
  <c r="H8" i="25"/>
  <c r="K8" i="25" s="1"/>
  <c r="H7" i="25"/>
  <c r="C7" i="25" s="1"/>
  <c r="H70" i="25" l="1"/>
  <c r="K19" i="25" s="1"/>
  <c r="R19" i="25" s="1"/>
  <c r="C29" i="25"/>
  <c r="F70" i="25"/>
  <c r="K23" i="26"/>
  <c r="K58" i="26" s="1"/>
  <c r="O58" i="26" s="1"/>
  <c r="B83" i="26"/>
  <c r="K15" i="25"/>
  <c r="G70" i="25"/>
  <c r="K38" i="25" s="1"/>
  <c r="R38" i="25" s="1"/>
  <c r="K31" i="25"/>
  <c r="R31" i="25" s="1"/>
  <c r="B82" i="25"/>
  <c r="H60" i="25"/>
  <c r="B61" i="25"/>
  <c r="K92" i="25"/>
  <c r="K93" i="25" s="1"/>
  <c r="H80" i="25"/>
  <c r="H52" i="25"/>
  <c r="H51" i="25"/>
  <c r="K12" i="25" s="1"/>
  <c r="R12" i="25" s="1"/>
  <c r="H32" i="25"/>
  <c r="C32" i="25" s="1"/>
  <c r="G71" i="25"/>
  <c r="H71" i="25"/>
  <c r="F71" i="25"/>
  <c r="K48" i="25"/>
  <c r="R48" i="25" s="1"/>
  <c r="K10" i="25"/>
  <c r="R10" i="25" s="1"/>
  <c r="K16" i="25"/>
  <c r="R16" i="25" s="1"/>
  <c r="K17" i="25"/>
  <c r="R17" i="25" s="1"/>
  <c r="C37" i="25"/>
  <c r="H38" i="25"/>
  <c r="C38" i="25" s="1"/>
  <c r="C39" i="25"/>
  <c r="C40" i="25"/>
  <c r="G61" i="25"/>
  <c r="H66" i="25"/>
  <c r="K18" i="25" s="1"/>
  <c r="B48" i="25"/>
  <c r="K7" i="25"/>
  <c r="K52" i="25"/>
  <c r="R52" i="25" s="1"/>
  <c r="H65" i="25"/>
  <c r="B58" i="24"/>
  <c r="K88" i="24"/>
  <c r="K83" i="24"/>
  <c r="K34" i="24" s="1"/>
  <c r="G80" i="24"/>
  <c r="B80" i="24"/>
  <c r="K76" i="24"/>
  <c r="B72" i="24"/>
  <c r="F71" i="24"/>
  <c r="F72" i="24" s="1"/>
  <c r="K48" i="24" s="1"/>
  <c r="H70" i="24"/>
  <c r="H71" i="24" s="1"/>
  <c r="H72" i="24" s="1"/>
  <c r="K19" i="24" s="1"/>
  <c r="G70" i="24"/>
  <c r="G71" i="24" s="1"/>
  <c r="G72" i="24" s="1"/>
  <c r="K38" i="24" s="1"/>
  <c r="F70" i="24"/>
  <c r="B67" i="24"/>
  <c r="B82" i="24" s="1"/>
  <c r="B83" i="24" s="1"/>
  <c r="G66" i="24"/>
  <c r="G67" i="24" s="1"/>
  <c r="F66" i="24"/>
  <c r="H66" i="24" s="1"/>
  <c r="D65" i="24"/>
  <c r="G61" i="24"/>
  <c r="F61" i="24"/>
  <c r="B61" i="24"/>
  <c r="G60" i="24"/>
  <c r="F60" i="24"/>
  <c r="B60" i="24"/>
  <c r="F59" i="24"/>
  <c r="K52" i="24" s="1"/>
  <c r="H58" i="24"/>
  <c r="H57" i="24"/>
  <c r="W56" i="24"/>
  <c r="U56" i="24"/>
  <c r="S56" i="24"/>
  <c r="H56" i="24"/>
  <c r="K14" i="24" s="1"/>
  <c r="K53" i="24"/>
  <c r="K55" i="24"/>
  <c r="G53" i="24"/>
  <c r="F53" i="24"/>
  <c r="H53" i="24" s="1"/>
  <c r="B53" i="24"/>
  <c r="B52" i="24"/>
  <c r="K51" i="24"/>
  <c r="K49" i="24"/>
  <c r="B48" i="24"/>
  <c r="H47" i="24"/>
  <c r="C47" i="24" s="1"/>
  <c r="H46" i="24"/>
  <c r="C46" i="24" s="1"/>
  <c r="H45" i="24"/>
  <c r="C45" i="24" s="1"/>
  <c r="H44" i="24"/>
  <c r="C44" i="24" s="1"/>
  <c r="K43" i="24"/>
  <c r="G48" i="24"/>
  <c r="B41" i="24"/>
  <c r="H41" i="24" s="1"/>
  <c r="C41" i="24" s="1"/>
  <c r="B40" i="24"/>
  <c r="H40" i="24" s="1"/>
  <c r="K39" i="24"/>
  <c r="B39" i="24"/>
  <c r="H39" i="24" s="1"/>
  <c r="B38" i="24"/>
  <c r="H38" i="24" s="1"/>
  <c r="K36" i="24"/>
  <c r="K35" i="24"/>
  <c r="B33" i="24"/>
  <c r="K32" i="24"/>
  <c r="H32" i="24"/>
  <c r="C32" i="24" s="1"/>
  <c r="H31" i="24"/>
  <c r="K30" i="24"/>
  <c r="H30" i="24"/>
  <c r="K29" i="24"/>
  <c r="H29" i="24"/>
  <c r="K28" i="24"/>
  <c r="H28" i="24"/>
  <c r="H27" i="24"/>
  <c r="K26" i="24"/>
  <c r="H26" i="24"/>
  <c r="H25" i="24"/>
  <c r="F52" i="24"/>
  <c r="F62" i="24" s="1"/>
  <c r="H23" i="24"/>
  <c r="H22" i="24"/>
  <c r="K21" i="24"/>
  <c r="H21" i="24"/>
  <c r="K20" i="24"/>
  <c r="H20" i="24"/>
  <c r="H19" i="24"/>
  <c r="H18" i="24"/>
  <c r="H17" i="24"/>
  <c r="K16" i="24" s="1"/>
  <c r="H16" i="24"/>
  <c r="V15" i="24"/>
  <c r="U15" i="24"/>
  <c r="T15" i="24"/>
  <c r="S15" i="24"/>
  <c r="R15" i="24"/>
  <c r="Q15" i="24"/>
  <c r="P15" i="24"/>
  <c r="H15" i="24"/>
  <c r="H14" i="24"/>
  <c r="V13" i="24"/>
  <c r="U13" i="24"/>
  <c r="T13" i="24"/>
  <c r="S13" i="24"/>
  <c r="W13" i="24" s="1"/>
  <c r="R13" i="24"/>
  <c r="Q13" i="24"/>
  <c r="P13" i="24"/>
  <c r="H13" i="24"/>
  <c r="H12" i="24"/>
  <c r="V11" i="24"/>
  <c r="U11" i="24"/>
  <c r="T11" i="24"/>
  <c r="T16" i="24" s="1"/>
  <c r="S11" i="24"/>
  <c r="W11" i="24" s="1"/>
  <c r="R11" i="24"/>
  <c r="Q11" i="24"/>
  <c r="P11" i="24"/>
  <c r="H11" i="24"/>
  <c r="K15" i="24" s="1"/>
  <c r="H10" i="24"/>
  <c r="K11" i="24" s="1"/>
  <c r="H9" i="24"/>
  <c r="K9" i="24" s="1"/>
  <c r="X8" i="24"/>
  <c r="W8" i="24"/>
  <c r="P8" i="24"/>
  <c r="K27" i="24"/>
  <c r="K44" i="24"/>
  <c r="X7" i="24"/>
  <c r="W7" i="24"/>
  <c r="P7" i="24"/>
  <c r="H7" i="24"/>
  <c r="V6" i="24"/>
  <c r="U6" i="24"/>
  <c r="T6" i="24"/>
  <c r="S6" i="24"/>
  <c r="R6" i="24"/>
  <c r="Q6" i="24"/>
  <c r="K62" i="23"/>
  <c r="K66" i="23"/>
  <c r="K74" i="23" s="1"/>
  <c r="K65" i="23"/>
  <c r="N58" i="23"/>
  <c r="K90" i="23"/>
  <c r="K49" i="23" s="1"/>
  <c r="K84" i="23"/>
  <c r="K34" i="23" s="1"/>
  <c r="G79" i="23"/>
  <c r="B79" i="23"/>
  <c r="G77" i="23"/>
  <c r="B70" i="23"/>
  <c r="F70" i="23" s="1"/>
  <c r="H69" i="23"/>
  <c r="G69" i="23"/>
  <c r="F69" i="23"/>
  <c r="R66" i="23"/>
  <c r="B66" i="23"/>
  <c r="B81" i="23" s="1"/>
  <c r="B82" i="23" s="1"/>
  <c r="G65" i="23"/>
  <c r="G66" i="23" s="1"/>
  <c r="K37" i="23" s="1"/>
  <c r="F65" i="23"/>
  <c r="F66" i="23" s="1"/>
  <c r="K47" i="23" s="1"/>
  <c r="R64" i="23"/>
  <c r="D64" i="23"/>
  <c r="G60" i="23"/>
  <c r="F60" i="23"/>
  <c r="B60" i="23"/>
  <c r="M59" i="23"/>
  <c r="L59" i="23"/>
  <c r="G59" i="23"/>
  <c r="F59" i="23"/>
  <c r="B59" i="23"/>
  <c r="G58" i="23"/>
  <c r="F58" i="23"/>
  <c r="H58" i="23" s="1"/>
  <c r="B57" i="23"/>
  <c r="H57" i="23" s="1"/>
  <c r="H56" i="23"/>
  <c r="K55" i="23"/>
  <c r="H55" i="23"/>
  <c r="K13" i="23" s="1"/>
  <c r="R13" i="23" s="1"/>
  <c r="K54" i="23"/>
  <c r="K53" i="23"/>
  <c r="R53" i="23" s="1"/>
  <c r="G52" i="23"/>
  <c r="F52" i="23"/>
  <c r="B52" i="23"/>
  <c r="K51" i="23"/>
  <c r="G51" i="23"/>
  <c r="G61" i="23" s="1"/>
  <c r="F51" i="23"/>
  <c r="B51" i="23"/>
  <c r="B53" i="23" s="1"/>
  <c r="K50" i="23"/>
  <c r="G47" i="23"/>
  <c r="F47" i="23"/>
  <c r="B47" i="23"/>
  <c r="K46" i="23"/>
  <c r="H46" i="23"/>
  <c r="C46" i="23" s="1"/>
  <c r="K45" i="23"/>
  <c r="H45" i="23"/>
  <c r="C45" i="23" s="1"/>
  <c r="K44" i="23"/>
  <c r="H44" i="23"/>
  <c r="C44" i="23" s="1"/>
  <c r="K43" i="23"/>
  <c r="H43" i="23"/>
  <c r="C43" i="23" s="1"/>
  <c r="H42" i="23"/>
  <c r="C42" i="23" s="1"/>
  <c r="B40" i="23"/>
  <c r="H40" i="23" s="1"/>
  <c r="C40" i="23" s="1"/>
  <c r="K39" i="23"/>
  <c r="B39" i="23"/>
  <c r="H39" i="23" s="1"/>
  <c r="C39" i="23" s="1"/>
  <c r="B38" i="23"/>
  <c r="H38" i="23" s="1"/>
  <c r="B37" i="23"/>
  <c r="H37" i="23" s="1"/>
  <c r="K36" i="23"/>
  <c r="K35" i="23"/>
  <c r="R34" i="23"/>
  <c r="K33" i="23"/>
  <c r="K32" i="23"/>
  <c r="G32" i="23"/>
  <c r="F32" i="23"/>
  <c r="B32" i="23"/>
  <c r="H31" i="23"/>
  <c r="C31" i="23" s="1"/>
  <c r="H30" i="23"/>
  <c r="C30" i="23" s="1"/>
  <c r="K29" i="23"/>
  <c r="H29" i="23"/>
  <c r="K21" i="23" s="1"/>
  <c r="C29" i="23"/>
  <c r="K28" i="23"/>
  <c r="H28" i="23"/>
  <c r="C28" i="23" s="1"/>
  <c r="K27" i="23"/>
  <c r="H27" i="23"/>
  <c r="C27" i="23" s="1"/>
  <c r="K26" i="23"/>
  <c r="H26" i="23"/>
  <c r="C26" i="23" s="1"/>
  <c r="H25" i="23"/>
  <c r="C25" i="23" s="1"/>
  <c r="H24" i="23"/>
  <c r="C24" i="23" s="1"/>
  <c r="H23" i="23"/>
  <c r="C23" i="23" s="1"/>
  <c r="H22" i="23"/>
  <c r="C22" i="23" s="1"/>
  <c r="H21" i="23"/>
  <c r="C21" i="23" s="1"/>
  <c r="K20" i="23"/>
  <c r="H20" i="23"/>
  <c r="C20" i="23" s="1"/>
  <c r="H19" i="23"/>
  <c r="C19" i="23" s="1"/>
  <c r="H18" i="23"/>
  <c r="C18" i="23" s="1"/>
  <c r="H17" i="23"/>
  <c r="C17" i="23" s="1"/>
  <c r="H16" i="23"/>
  <c r="K16" i="23" s="1"/>
  <c r="R15" i="23"/>
  <c r="H15" i="23"/>
  <c r="C15" i="23" s="1"/>
  <c r="H14" i="23"/>
  <c r="C14" i="23" s="1"/>
  <c r="H13" i="23"/>
  <c r="C13" i="23" s="1"/>
  <c r="H12" i="23"/>
  <c r="C12" i="23" s="1"/>
  <c r="H11" i="23"/>
  <c r="C11" i="23" s="1"/>
  <c r="H10" i="23"/>
  <c r="H9" i="23"/>
  <c r="K9" i="23" s="1"/>
  <c r="H8" i="23"/>
  <c r="K8" i="23" s="1"/>
  <c r="H7" i="23"/>
  <c r="K7" i="23" s="1"/>
  <c r="R6" i="23"/>
  <c r="R32" i="23" l="1"/>
  <c r="R36" i="23"/>
  <c r="R43" i="23"/>
  <c r="X15" i="24"/>
  <c r="S16" i="24"/>
  <c r="R29" i="23"/>
  <c r="R46" i="23"/>
  <c r="R50" i="23"/>
  <c r="R16" i="24"/>
  <c r="X11" i="24"/>
  <c r="C7" i="23"/>
  <c r="R16" i="23"/>
  <c r="R35" i="23"/>
  <c r="B61" i="23"/>
  <c r="H70" i="23"/>
  <c r="K19" i="23" s="1"/>
  <c r="R19" i="23" s="1"/>
  <c r="X13" i="24"/>
  <c r="X16" i="24" s="1"/>
  <c r="Q16" i="24"/>
  <c r="W15" i="24"/>
  <c r="W16" i="24" s="1"/>
  <c r="B86" i="26"/>
  <c r="C38" i="24"/>
  <c r="H60" i="24"/>
  <c r="K17" i="24"/>
  <c r="R40" i="25"/>
  <c r="H61" i="25"/>
  <c r="B74" i="25"/>
  <c r="C82" i="25" s="1"/>
  <c r="R56" i="25"/>
  <c r="K40" i="25"/>
  <c r="H47" i="25"/>
  <c r="C47" i="25" s="1"/>
  <c r="R7" i="25"/>
  <c r="R23" i="25" s="1"/>
  <c r="K23" i="25"/>
  <c r="K56" i="25"/>
  <c r="B49" i="24"/>
  <c r="C39" i="24"/>
  <c r="C40" i="24"/>
  <c r="H81" i="24"/>
  <c r="H61" i="24"/>
  <c r="K31" i="24"/>
  <c r="K40" i="24" s="1"/>
  <c r="K37" i="24"/>
  <c r="U16" i="24"/>
  <c r="F33" i="24"/>
  <c r="K46" i="24"/>
  <c r="K50" i="24"/>
  <c r="G52" i="24"/>
  <c r="G62" i="24" s="1"/>
  <c r="B54" i="24"/>
  <c r="B62" i="24" s="1"/>
  <c r="H62" i="24" s="1"/>
  <c r="F67" i="24"/>
  <c r="K47" i="24" s="1"/>
  <c r="K7" i="24"/>
  <c r="V16" i="24"/>
  <c r="H24" i="24"/>
  <c r="G33" i="24"/>
  <c r="H43" i="24"/>
  <c r="G59" i="24"/>
  <c r="H59" i="24" s="1"/>
  <c r="W6" i="24"/>
  <c r="F48" i="24"/>
  <c r="X6" i="24"/>
  <c r="H8" i="24"/>
  <c r="K8" i="24" s="1"/>
  <c r="K92" i="23"/>
  <c r="K93" i="23" s="1"/>
  <c r="H61" i="23"/>
  <c r="H52" i="23"/>
  <c r="K31" i="23"/>
  <c r="R31" i="23" s="1"/>
  <c r="H59" i="23"/>
  <c r="H80" i="23"/>
  <c r="C16" i="23"/>
  <c r="C38" i="23"/>
  <c r="K52" i="23"/>
  <c r="R52" i="23" s="1"/>
  <c r="H60" i="23"/>
  <c r="K17" i="23"/>
  <c r="R17" i="23" s="1"/>
  <c r="H47" i="23"/>
  <c r="C37" i="23"/>
  <c r="K10" i="23"/>
  <c r="R10" i="23" s="1"/>
  <c r="H71" i="23"/>
  <c r="F71" i="23"/>
  <c r="K48" i="23"/>
  <c r="R48" i="23" s="1"/>
  <c r="K15" i="23"/>
  <c r="H32" i="23"/>
  <c r="C32" i="23" s="1"/>
  <c r="R7" i="23"/>
  <c r="B48" i="23"/>
  <c r="R26" i="23"/>
  <c r="H51" i="23"/>
  <c r="K12" i="23" s="1"/>
  <c r="R12" i="23" s="1"/>
  <c r="F61" i="23"/>
  <c r="H65" i="23"/>
  <c r="H66" i="23"/>
  <c r="K18" i="23" s="1"/>
  <c r="G70" i="23"/>
  <c r="G81" i="23"/>
  <c r="K56" i="24" l="1"/>
  <c r="H67" i="24"/>
  <c r="K18" i="24" s="1"/>
  <c r="B83" i="25"/>
  <c r="K58" i="25"/>
  <c r="O58" i="25" s="1"/>
  <c r="B75" i="24"/>
  <c r="K10" i="24"/>
  <c r="C43" i="24"/>
  <c r="H48" i="24"/>
  <c r="C48" i="24" s="1"/>
  <c r="H52" i="24"/>
  <c r="K12" i="24" s="1"/>
  <c r="H33" i="24"/>
  <c r="C33" i="24" s="1"/>
  <c r="C47" i="23"/>
  <c r="R56" i="23"/>
  <c r="B74" i="23"/>
  <c r="K56" i="23"/>
  <c r="G71" i="23"/>
  <c r="K38" i="23"/>
  <c r="R23" i="23"/>
  <c r="K23" i="23"/>
  <c r="C82" i="23" l="1"/>
  <c r="B83" i="23"/>
  <c r="K23" i="24"/>
  <c r="K58" i="24" s="1"/>
  <c r="Q56" i="24" s="1"/>
  <c r="C83" i="24"/>
  <c r="B84" i="24"/>
  <c r="R38" i="23"/>
  <c r="R40" i="23" s="1"/>
  <c r="K40" i="23"/>
  <c r="K58" i="23" s="1"/>
  <c r="O58" i="23" s="1"/>
  <c r="B70" i="21"/>
  <c r="H20" i="21"/>
  <c r="K62" i="21"/>
  <c r="K66" i="21"/>
  <c r="K65" i="21"/>
  <c r="N58" i="21"/>
  <c r="K90" i="22"/>
  <c r="K49" i="22" s="1"/>
  <c r="K84" i="22"/>
  <c r="B81" i="22"/>
  <c r="B82" i="22" s="1"/>
  <c r="B79" i="22"/>
  <c r="G77" i="22"/>
  <c r="G79" i="22" s="1"/>
  <c r="G81" i="22" s="1"/>
  <c r="B70" i="22"/>
  <c r="H69" i="22"/>
  <c r="H70" i="22" s="1"/>
  <c r="G69" i="22"/>
  <c r="G70" i="22" s="1"/>
  <c r="F69" i="22"/>
  <c r="F70" i="22" s="1"/>
  <c r="R66" i="22"/>
  <c r="K66" i="22"/>
  <c r="B66" i="22"/>
  <c r="G65" i="22"/>
  <c r="G66" i="22" s="1"/>
  <c r="F65" i="22"/>
  <c r="F66" i="22" s="1"/>
  <c r="K47" i="22" s="1"/>
  <c r="R64" i="22"/>
  <c r="K64" i="22"/>
  <c r="D64" i="22"/>
  <c r="G60" i="22"/>
  <c r="F60" i="22"/>
  <c r="B60" i="22"/>
  <c r="H60" i="22" s="1"/>
  <c r="M59" i="22"/>
  <c r="L59" i="22"/>
  <c r="G59" i="22"/>
  <c r="F59" i="22"/>
  <c r="B59" i="22"/>
  <c r="N58" i="22"/>
  <c r="G58" i="22"/>
  <c r="F58" i="22"/>
  <c r="H58" i="22" s="1"/>
  <c r="B57" i="22"/>
  <c r="H57" i="22" s="1"/>
  <c r="H56" i="22"/>
  <c r="K55" i="22"/>
  <c r="H55" i="22"/>
  <c r="K13" i="22" s="1"/>
  <c r="K54" i="22"/>
  <c r="K53" i="22"/>
  <c r="R53" i="22" s="1"/>
  <c r="G52" i="22"/>
  <c r="F52" i="22"/>
  <c r="B52" i="22"/>
  <c r="K51" i="22"/>
  <c r="G51" i="22"/>
  <c r="G61" i="22" s="1"/>
  <c r="F51" i="22"/>
  <c r="B51" i="22"/>
  <c r="B53" i="22" s="1"/>
  <c r="K50" i="22"/>
  <c r="G47" i="22"/>
  <c r="F47" i="22"/>
  <c r="B47" i="22"/>
  <c r="K46" i="22"/>
  <c r="H46" i="22"/>
  <c r="C46" i="22" s="1"/>
  <c r="K45" i="22"/>
  <c r="H45" i="22"/>
  <c r="C45" i="22" s="1"/>
  <c r="K44" i="22"/>
  <c r="H44" i="22"/>
  <c r="C44" i="22"/>
  <c r="K43" i="22"/>
  <c r="H43" i="22"/>
  <c r="C43" i="22" s="1"/>
  <c r="H42" i="22"/>
  <c r="C42" i="22" s="1"/>
  <c r="B40" i="22"/>
  <c r="H40" i="22" s="1"/>
  <c r="K39" i="22"/>
  <c r="B39" i="22"/>
  <c r="H39" i="22" s="1"/>
  <c r="B38" i="22"/>
  <c r="H38" i="22" s="1"/>
  <c r="B37" i="22"/>
  <c r="H37" i="22" s="1"/>
  <c r="H47" i="22" s="1"/>
  <c r="K36" i="22"/>
  <c r="K35" i="22"/>
  <c r="R34" i="22"/>
  <c r="K34" i="22"/>
  <c r="K33" i="22"/>
  <c r="K32" i="22"/>
  <c r="G32" i="22"/>
  <c r="F32" i="22"/>
  <c r="B32" i="22"/>
  <c r="H31" i="22"/>
  <c r="C31" i="22" s="1"/>
  <c r="H30" i="22"/>
  <c r="C30" i="22" s="1"/>
  <c r="K29" i="22"/>
  <c r="H29" i="22"/>
  <c r="K21" i="22" s="1"/>
  <c r="C29" i="22"/>
  <c r="K28" i="22"/>
  <c r="H28" i="22"/>
  <c r="C28" i="22" s="1"/>
  <c r="K27" i="22"/>
  <c r="H27" i="22"/>
  <c r="C27" i="22"/>
  <c r="K26" i="22"/>
  <c r="H26" i="22"/>
  <c r="C26" i="22" s="1"/>
  <c r="H25" i="22"/>
  <c r="C25" i="22" s="1"/>
  <c r="H24" i="22"/>
  <c r="C24" i="22" s="1"/>
  <c r="H23" i="22"/>
  <c r="C23" i="22" s="1"/>
  <c r="H22" i="22"/>
  <c r="C22" i="22" s="1"/>
  <c r="H21" i="22"/>
  <c r="C21" i="22" s="1"/>
  <c r="K20" i="22"/>
  <c r="H20" i="22"/>
  <c r="C20" i="22"/>
  <c r="H19" i="22"/>
  <c r="C19" i="22"/>
  <c r="H18" i="22"/>
  <c r="C18" i="22" s="1"/>
  <c r="H17" i="22"/>
  <c r="C17" i="22" s="1"/>
  <c r="H16" i="22"/>
  <c r="C16" i="22" s="1"/>
  <c r="R15" i="22"/>
  <c r="H15" i="22"/>
  <c r="C15" i="22" s="1"/>
  <c r="H14" i="22"/>
  <c r="C14" i="22" s="1"/>
  <c r="H13" i="22"/>
  <c r="C13" i="22" s="1"/>
  <c r="H12" i="22"/>
  <c r="C12" i="22" s="1"/>
  <c r="H11" i="22"/>
  <c r="C11" i="22" s="1"/>
  <c r="H10" i="22"/>
  <c r="H9" i="22"/>
  <c r="K9" i="22" s="1"/>
  <c r="H8" i="22"/>
  <c r="K8" i="22" s="1"/>
  <c r="H7" i="22"/>
  <c r="R6" i="22"/>
  <c r="R32" i="22" s="1"/>
  <c r="H32" i="22" l="1"/>
  <c r="R35" i="22"/>
  <c r="R36" i="22"/>
  <c r="K52" i="22"/>
  <c r="R52" i="22" s="1"/>
  <c r="H52" i="22"/>
  <c r="F61" i="22"/>
  <c r="R29" i="22"/>
  <c r="R13" i="22"/>
  <c r="C7" i="22"/>
  <c r="K15" i="22"/>
  <c r="K31" i="22"/>
  <c r="R31" i="22" s="1"/>
  <c r="R43" i="22"/>
  <c r="R50" i="22"/>
  <c r="H59" i="22"/>
  <c r="K74" i="22"/>
  <c r="K92" i="22" s="1"/>
  <c r="K93" i="22" s="1"/>
  <c r="Y58" i="24"/>
  <c r="K37" i="22"/>
  <c r="H66" i="22"/>
  <c r="K18" i="22" s="1"/>
  <c r="F71" i="22"/>
  <c r="K48" i="22"/>
  <c r="R48" i="22" s="1"/>
  <c r="K38" i="22"/>
  <c r="R38" i="22" s="1"/>
  <c r="G71" i="22"/>
  <c r="H80" i="22"/>
  <c r="C32" i="22"/>
  <c r="H71" i="22"/>
  <c r="K19" i="22"/>
  <c r="R19" i="22" s="1"/>
  <c r="K17" i="22"/>
  <c r="R17" i="22" s="1"/>
  <c r="R26" i="22"/>
  <c r="C37" i="22"/>
  <c r="C38" i="22"/>
  <c r="R46" i="22"/>
  <c r="R56" i="22" s="1"/>
  <c r="H51" i="22"/>
  <c r="K12" i="22" s="1"/>
  <c r="R12" i="22" s="1"/>
  <c r="H65" i="22"/>
  <c r="B48" i="22"/>
  <c r="C47" i="22" s="1"/>
  <c r="B61" i="22"/>
  <c r="H61" i="22" s="1"/>
  <c r="K7" i="22"/>
  <c r="C39" i="22"/>
  <c r="C40" i="22"/>
  <c r="K10" i="22"/>
  <c r="R10" i="22" s="1"/>
  <c r="K16" i="22"/>
  <c r="R16" i="22" s="1"/>
  <c r="R40" i="22" l="1"/>
  <c r="K40" i="22"/>
  <c r="B74" i="22"/>
  <c r="K56" i="22"/>
  <c r="R7" i="22"/>
  <c r="R23" i="22" s="1"/>
  <c r="K23" i="22"/>
  <c r="K90" i="21"/>
  <c r="K84" i="21"/>
  <c r="K34" i="21" s="1"/>
  <c r="B79" i="21"/>
  <c r="G77" i="21"/>
  <c r="G79" i="21" s="1"/>
  <c r="G81" i="21" s="1"/>
  <c r="H69" i="21"/>
  <c r="G69" i="21"/>
  <c r="G70" i="21" s="1"/>
  <c r="F69" i="21"/>
  <c r="F70" i="21" s="1"/>
  <c r="R66" i="21"/>
  <c r="B66" i="21"/>
  <c r="B81" i="21" s="1"/>
  <c r="B82" i="21" s="1"/>
  <c r="G65" i="21"/>
  <c r="G66" i="21" s="1"/>
  <c r="F65" i="21"/>
  <c r="F66" i="21" s="1"/>
  <c r="K47" i="21" s="1"/>
  <c r="R64" i="21"/>
  <c r="K74" i="21"/>
  <c r="D64" i="21"/>
  <c r="G60" i="21"/>
  <c r="F60" i="21"/>
  <c r="B60" i="21"/>
  <c r="M59" i="21"/>
  <c r="L59" i="21"/>
  <c r="G59" i="21"/>
  <c r="F59" i="21"/>
  <c r="B59" i="21"/>
  <c r="G58" i="21"/>
  <c r="F58" i="21"/>
  <c r="B57" i="21"/>
  <c r="H57" i="21" s="1"/>
  <c r="H56" i="21"/>
  <c r="K55" i="21"/>
  <c r="H55" i="21"/>
  <c r="K13" i="21" s="1"/>
  <c r="K54" i="21"/>
  <c r="K53" i="21"/>
  <c r="R53" i="21" s="1"/>
  <c r="G52" i="21"/>
  <c r="F52" i="21"/>
  <c r="B52" i="21"/>
  <c r="K51" i="21"/>
  <c r="G51" i="21"/>
  <c r="G61" i="21" s="1"/>
  <c r="F51" i="21"/>
  <c r="B51" i="21"/>
  <c r="B53" i="21" s="1"/>
  <c r="K50" i="21"/>
  <c r="R50" i="21" s="1"/>
  <c r="K49" i="21"/>
  <c r="G47" i="21"/>
  <c r="F47" i="21"/>
  <c r="B47" i="21"/>
  <c r="K46" i="21"/>
  <c r="R46" i="21" s="1"/>
  <c r="H46" i="21"/>
  <c r="C46" i="21" s="1"/>
  <c r="K45" i="21"/>
  <c r="H45" i="21"/>
  <c r="C45" i="21" s="1"/>
  <c r="K44" i="21"/>
  <c r="H44" i="21"/>
  <c r="C44" i="21" s="1"/>
  <c r="K43" i="21"/>
  <c r="H43" i="21"/>
  <c r="C43" i="21" s="1"/>
  <c r="H42" i="21"/>
  <c r="C42" i="21" s="1"/>
  <c r="B40" i="21"/>
  <c r="H40" i="21" s="1"/>
  <c r="C40" i="21" s="1"/>
  <c r="K39" i="21"/>
  <c r="B39" i="21"/>
  <c r="H39" i="21" s="1"/>
  <c r="C39" i="21" s="1"/>
  <c r="B38" i="21"/>
  <c r="H38" i="21" s="1"/>
  <c r="B37" i="21"/>
  <c r="K36" i="21"/>
  <c r="R36" i="21" s="1"/>
  <c r="K35" i="21"/>
  <c r="R35" i="21" s="1"/>
  <c r="K33" i="21"/>
  <c r="K32" i="21"/>
  <c r="G32" i="21"/>
  <c r="F32" i="21"/>
  <c r="B32" i="21"/>
  <c r="H31" i="21"/>
  <c r="C31" i="21"/>
  <c r="H30" i="21"/>
  <c r="C30" i="21" s="1"/>
  <c r="K29" i="21"/>
  <c r="R29" i="21" s="1"/>
  <c r="H29" i="21"/>
  <c r="K21" i="21" s="1"/>
  <c r="C29" i="21"/>
  <c r="K28" i="21"/>
  <c r="H28" i="21"/>
  <c r="C28" i="21" s="1"/>
  <c r="K27" i="21"/>
  <c r="H27" i="21"/>
  <c r="C27" i="21" s="1"/>
  <c r="K26" i="21"/>
  <c r="H26" i="21"/>
  <c r="C26" i="21" s="1"/>
  <c r="H25" i="21"/>
  <c r="C25" i="21" s="1"/>
  <c r="H24" i="21"/>
  <c r="C24" i="21" s="1"/>
  <c r="H23" i="21"/>
  <c r="C23" i="21" s="1"/>
  <c r="H22" i="21"/>
  <c r="C22" i="21" s="1"/>
  <c r="H21" i="21"/>
  <c r="C21" i="21" s="1"/>
  <c r="C20" i="21"/>
  <c r="H19" i="21"/>
  <c r="C19" i="21" s="1"/>
  <c r="H18" i="21"/>
  <c r="C18" i="21" s="1"/>
  <c r="H17" i="21"/>
  <c r="C17" i="21" s="1"/>
  <c r="H16" i="21"/>
  <c r="C16" i="21" s="1"/>
  <c r="H15" i="21"/>
  <c r="C15" i="21" s="1"/>
  <c r="H14" i="21"/>
  <c r="C14" i="21" s="1"/>
  <c r="H13" i="21"/>
  <c r="C13" i="21" s="1"/>
  <c r="H12" i="21"/>
  <c r="H11" i="21"/>
  <c r="C11" i="21" s="1"/>
  <c r="H10" i="21"/>
  <c r="H9" i="21"/>
  <c r="K9" i="21" s="1"/>
  <c r="K8" i="21"/>
  <c r="H8" i="21"/>
  <c r="H7" i="21"/>
  <c r="C7" i="21" s="1"/>
  <c r="H65" i="21" l="1"/>
  <c r="H80" i="21"/>
  <c r="C82" i="22"/>
  <c r="B83" i="22"/>
  <c r="K58" i="22"/>
  <c r="O58" i="22" s="1"/>
  <c r="K92" i="21"/>
  <c r="K93" i="21" s="1"/>
  <c r="H59" i="21"/>
  <c r="B48" i="21"/>
  <c r="H58" i="21"/>
  <c r="K52" i="21"/>
  <c r="R52" i="21" s="1"/>
  <c r="R32" i="21"/>
  <c r="K20" i="21"/>
  <c r="H37" i="21"/>
  <c r="H47" i="21" s="1"/>
  <c r="B61" i="21"/>
  <c r="H61" i="21" s="1"/>
  <c r="H52" i="21"/>
  <c r="K31" i="21"/>
  <c r="R31" i="21" s="1"/>
  <c r="C38" i="21"/>
  <c r="H60" i="21"/>
  <c r="H32" i="21"/>
  <c r="C32" i="21" s="1"/>
  <c r="F61" i="21"/>
  <c r="G71" i="21"/>
  <c r="K38" i="21"/>
  <c r="R38" i="21" s="1"/>
  <c r="K37" i="21"/>
  <c r="H66" i="21"/>
  <c r="K18" i="21" s="1"/>
  <c r="F71" i="21"/>
  <c r="K48" i="21"/>
  <c r="R48" i="21" s="1"/>
  <c r="K7" i="21"/>
  <c r="K10" i="21"/>
  <c r="R10" i="21" s="1"/>
  <c r="C12" i="21"/>
  <c r="K15" i="21"/>
  <c r="K16" i="21"/>
  <c r="R16" i="21" s="1"/>
  <c r="K17" i="21"/>
  <c r="R17" i="21" s="1"/>
  <c r="R26" i="21"/>
  <c r="H51" i="21"/>
  <c r="H70" i="21"/>
  <c r="R43" i="21"/>
  <c r="R13" i="21"/>
  <c r="R56" i="21" l="1"/>
  <c r="K56" i="21"/>
  <c r="C37" i="21"/>
  <c r="C47" i="21"/>
  <c r="B74" i="21"/>
  <c r="C82" i="21" s="1"/>
  <c r="K12" i="21"/>
  <c r="R12" i="21" s="1"/>
  <c r="K40" i="21"/>
  <c r="R40" i="21"/>
  <c r="K19" i="21"/>
  <c r="R19" i="21" s="1"/>
  <c r="H71" i="21"/>
  <c r="R7" i="21"/>
  <c r="G56" i="20"/>
  <c r="H56" i="20" s="1"/>
  <c r="K14" i="20" s="1"/>
  <c r="F56" i="20"/>
  <c r="G44" i="20"/>
  <c r="F44" i="20"/>
  <c r="G43" i="20"/>
  <c r="F43" i="20"/>
  <c r="G24" i="20"/>
  <c r="H24" i="20" s="1"/>
  <c r="F24" i="20"/>
  <c r="F52" i="20" s="1"/>
  <c r="F62" i="20" s="1"/>
  <c r="G17" i="20"/>
  <c r="F17" i="20"/>
  <c r="K50" i="20" s="1"/>
  <c r="G16" i="20"/>
  <c r="H16" i="20" s="1"/>
  <c r="F16" i="20"/>
  <c r="G8" i="20"/>
  <c r="H8" i="20" s="1"/>
  <c r="F8" i="20"/>
  <c r="O58" i="20"/>
  <c r="K88" i="20"/>
  <c r="K49" i="20" s="1"/>
  <c r="K83" i="20"/>
  <c r="K34" i="20" s="1"/>
  <c r="G80" i="20"/>
  <c r="B80" i="20"/>
  <c r="K76" i="20"/>
  <c r="B72" i="20"/>
  <c r="H70" i="20"/>
  <c r="H71" i="20" s="1"/>
  <c r="H72" i="20" s="1"/>
  <c r="K19" i="20" s="1"/>
  <c r="G70" i="20"/>
  <c r="G71" i="20" s="1"/>
  <c r="G72" i="20" s="1"/>
  <c r="K38" i="20" s="1"/>
  <c r="F70" i="20"/>
  <c r="F71" i="20" s="1"/>
  <c r="F72" i="20" s="1"/>
  <c r="K48" i="20" s="1"/>
  <c r="B67" i="20"/>
  <c r="B82" i="20" s="1"/>
  <c r="B83" i="20" s="1"/>
  <c r="G66" i="20"/>
  <c r="F66" i="20"/>
  <c r="F67" i="20" s="1"/>
  <c r="K47" i="20" s="1"/>
  <c r="D65" i="20"/>
  <c r="G61" i="20"/>
  <c r="F61" i="20"/>
  <c r="B61" i="20"/>
  <c r="G60" i="20"/>
  <c r="F60" i="20"/>
  <c r="B60" i="20"/>
  <c r="G59" i="20"/>
  <c r="F59" i="20"/>
  <c r="B58" i="20"/>
  <c r="H58" i="20" s="1"/>
  <c r="H57" i="20"/>
  <c r="W56" i="20"/>
  <c r="U56" i="20"/>
  <c r="S56" i="20"/>
  <c r="K55" i="20"/>
  <c r="K53" i="20"/>
  <c r="G53" i="20"/>
  <c r="F53" i="20"/>
  <c r="B53" i="20"/>
  <c r="K52" i="20"/>
  <c r="G52" i="20"/>
  <c r="G62" i="20" s="1"/>
  <c r="B52" i="20"/>
  <c r="K51" i="20"/>
  <c r="B48" i="20"/>
  <c r="H47" i="20"/>
  <c r="C47" i="20" s="1"/>
  <c r="H46" i="20"/>
  <c r="C46" i="20" s="1"/>
  <c r="H45" i="20"/>
  <c r="C45" i="20" s="1"/>
  <c r="K44" i="20"/>
  <c r="K43" i="20"/>
  <c r="H43" i="20"/>
  <c r="C43" i="20" s="1"/>
  <c r="B41" i="20"/>
  <c r="H41" i="20" s="1"/>
  <c r="H40" i="20"/>
  <c r="B40" i="20"/>
  <c r="K39" i="20"/>
  <c r="B39" i="20"/>
  <c r="B38" i="20"/>
  <c r="K36" i="20"/>
  <c r="K35" i="20"/>
  <c r="F33" i="20"/>
  <c r="B33" i="20"/>
  <c r="K32" i="20"/>
  <c r="H32" i="20"/>
  <c r="C32" i="20" s="1"/>
  <c r="H31" i="20"/>
  <c r="K20" i="20" s="1"/>
  <c r="K30" i="20"/>
  <c r="H30" i="20"/>
  <c r="K21" i="20" s="1"/>
  <c r="H29" i="20"/>
  <c r="K28" i="20"/>
  <c r="H28" i="20"/>
  <c r="K27" i="20"/>
  <c r="H27" i="20"/>
  <c r="K26" i="20"/>
  <c r="H26" i="20"/>
  <c r="H25" i="20"/>
  <c r="H23" i="20"/>
  <c r="H22" i="20"/>
  <c r="H21" i="20"/>
  <c r="H20" i="20"/>
  <c r="H19" i="20"/>
  <c r="H18" i="20"/>
  <c r="H17" i="20"/>
  <c r="K16" i="20" s="1"/>
  <c r="V15" i="20"/>
  <c r="U15" i="20"/>
  <c r="T15" i="20"/>
  <c r="S15" i="20"/>
  <c r="R15" i="20"/>
  <c r="Q15" i="20"/>
  <c r="P15" i="20"/>
  <c r="H15" i="20"/>
  <c r="H14" i="20"/>
  <c r="V13" i="20"/>
  <c r="U13" i="20"/>
  <c r="T13" i="20"/>
  <c r="S13" i="20"/>
  <c r="R13" i="20"/>
  <c r="Q13" i="20"/>
  <c r="P13" i="20"/>
  <c r="H13" i="20"/>
  <c r="H12" i="20"/>
  <c r="V11" i="20"/>
  <c r="U11" i="20"/>
  <c r="T11" i="20"/>
  <c r="S11" i="20"/>
  <c r="R11" i="20"/>
  <c r="R16" i="20" s="1"/>
  <c r="Q11" i="20"/>
  <c r="P11" i="20"/>
  <c r="H11" i="20"/>
  <c r="K15" i="20" s="1"/>
  <c r="H10" i="20"/>
  <c r="K11" i="20" s="1"/>
  <c r="H9" i="20"/>
  <c r="K9" i="20" s="1"/>
  <c r="X8" i="20"/>
  <c r="W8" i="20"/>
  <c r="P8" i="20"/>
  <c r="X7" i="20"/>
  <c r="W7" i="20"/>
  <c r="P7" i="20"/>
  <c r="H7" i="20"/>
  <c r="K7" i="20" s="1"/>
  <c r="V6" i="20"/>
  <c r="U6" i="20"/>
  <c r="T6" i="20"/>
  <c r="S6" i="20"/>
  <c r="R6" i="20"/>
  <c r="Q6" i="20"/>
  <c r="Q16" i="20" l="1"/>
  <c r="U16" i="20"/>
  <c r="H44" i="20"/>
  <c r="C44" i="20" s="1"/>
  <c r="R23" i="21"/>
  <c r="G33" i="20"/>
  <c r="B54" i="20"/>
  <c r="B62" i="20" s="1"/>
  <c r="H62" i="20" s="1"/>
  <c r="H60" i="20"/>
  <c r="B83" i="21"/>
  <c r="K23" i="21"/>
  <c r="K58" i="21" s="1"/>
  <c r="O58" i="21" s="1"/>
  <c r="F48" i="20"/>
  <c r="G48" i="20"/>
  <c r="K46" i="20"/>
  <c r="K29" i="20"/>
  <c r="X11" i="20"/>
  <c r="W13" i="20"/>
  <c r="T16" i="20"/>
  <c r="S16" i="20"/>
  <c r="X13" i="20"/>
  <c r="W15" i="20"/>
  <c r="V16" i="20"/>
  <c r="H66" i="20"/>
  <c r="H81" i="20"/>
  <c r="K10" i="20"/>
  <c r="K17" i="20"/>
  <c r="H53" i="20"/>
  <c r="K31" i="20"/>
  <c r="H61" i="20"/>
  <c r="H33" i="20"/>
  <c r="C33" i="20" s="1"/>
  <c r="H38" i="20"/>
  <c r="C40" i="20"/>
  <c r="K56" i="20"/>
  <c r="H59" i="20"/>
  <c r="H39" i="20"/>
  <c r="C39" i="20" s="1"/>
  <c r="C41" i="20"/>
  <c r="H52" i="20"/>
  <c r="K12" i="20" s="1"/>
  <c r="W6" i="20"/>
  <c r="K8" i="20"/>
  <c r="B49" i="20"/>
  <c r="X15" i="20"/>
  <c r="X6" i="20"/>
  <c r="W11" i="20"/>
  <c r="W16" i="20" s="1"/>
  <c r="G67" i="20"/>
  <c r="K37" i="20" s="1"/>
  <c r="X16" i="20" l="1"/>
  <c r="H48" i="20"/>
  <c r="C48" i="20" s="1"/>
  <c r="K40" i="20"/>
  <c r="C38" i="20"/>
  <c r="H67" i="20"/>
  <c r="K18" i="20" s="1"/>
  <c r="K23" i="20" s="1"/>
  <c r="B75" i="20"/>
  <c r="O58" i="19"/>
  <c r="K88" i="19"/>
  <c r="K83" i="19"/>
  <c r="G80" i="19"/>
  <c r="B80" i="19"/>
  <c r="K76" i="19"/>
  <c r="B72" i="19"/>
  <c r="F71" i="19"/>
  <c r="F72" i="19" s="1"/>
  <c r="K48" i="19" s="1"/>
  <c r="H70" i="19"/>
  <c r="H71" i="19" s="1"/>
  <c r="H72" i="19" s="1"/>
  <c r="K19" i="19" s="1"/>
  <c r="G70" i="19"/>
  <c r="G71" i="19" s="1"/>
  <c r="G72" i="19" s="1"/>
  <c r="K38" i="19" s="1"/>
  <c r="F70" i="19"/>
  <c r="B67" i="19"/>
  <c r="G66" i="19"/>
  <c r="G67" i="19" s="1"/>
  <c r="F66" i="19"/>
  <c r="F67" i="19" s="1"/>
  <c r="K47" i="19" s="1"/>
  <c r="D65" i="19"/>
  <c r="G61" i="19"/>
  <c r="H61" i="19" s="1"/>
  <c r="F61" i="19"/>
  <c r="B61" i="19"/>
  <c r="G60" i="19"/>
  <c r="F60" i="19"/>
  <c r="B60" i="19"/>
  <c r="B58" i="19"/>
  <c r="H58" i="19" s="1"/>
  <c r="H57" i="19"/>
  <c r="W56" i="19"/>
  <c r="U56" i="19"/>
  <c r="S56" i="19"/>
  <c r="H56" i="19"/>
  <c r="K55" i="19"/>
  <c r="K53" i="19"/>
  <c r="G53" i="19"/>
  <c r="F53" i="19"/>
  <c r="B53" i="19"/>
  <c r="H53" i="19" s="1"/>
  <c r="G52" i="19"/>
  <c r="G62" i="19" s="1"/>
  <c r="F52" i="19"/>
  <c r="F62" i="19" s="1"/>
  <c r="B52" i="19"/>
  <c r="K51" i="19"/>
  <c r="K50" i="19"/>
  <c r="K49" i="19"/>
  <c r="G48" i="19"/>
  <c r="F48" i="19"/>
  <c r="B48" i="19"/>
  <c r="H47" i="19"/>
  <c r="C47" i="19" s="1"/>
  <c r="K46" i="19"/>
  <c r="H46" i="19"/>
  <c r="C46" i="19" s="1"/>
  <c r="H45" i="19"/>
  <c r="C45" i="19"/>
  <c r="K44" i="19"/>
  <c r="H44" i="19"/>
  <c r="C44" i="19" s="1"/>
  <c r="K43" i="19"/>
  <c r="H43" i="19"/>
  <c r="B41" i="19"/>
  <c r="H41" i="19" s="1"/>
  <c r="B40" i="19"/>
  <c r="H40" i="19" s="1"/>
  <c r="K39" i="19"/>
  <c r="B39" i="19"/>
  <c r="H39" i="19" s="1"/>
  <c r="B38" i="19"/>
  <c r="H38" i="19" s="1"/>
  <c r="K36" i="19"/>
  <c r="K35" i="19"/>
  <c r="K34" i="19"/>
  <c r="G33" i="19"/>
  <c r="F33" i="19"/>
  <c r="K32" i="19"/>
  <c r="H32" i="19"/>
  <c r="C32" i="19" s="1"/>
  <c r="H31" i="19"/>
  <c r="K30" i="19"/>
  <c r="H30" i="19"/>
  <c r="K21" i="19" s="1"/>
  <c r="K29" i="19"/>
  <c r="H29" i="19"/>
  <c r="K28" i="19"/>
  <c r="H28" i="19"/>
  <c r="K27" i="19"/>
  <c r="H27" i="19"/>
  <c r="K26" i="19"/>
  <c r="H26" i="19"/>
  <c r="H25" i="19"/>
  <c r="H24" i="19"/>
  <c r="H23" i="19"/>
  <c r="H22" i="19"/>
  <c r="H21" i="19"/>
  <c r="K20" i="19"/>
  <c r="H20" i="19"/>
  <c r="H19" i="19"/>
  <c r="H18" i="19"/>
  <c r="H17" i="19"/>
  <c r="K16" i="19"/>
  <c r="H16" i="19"/>
  <c r="V15" i="19"/>
  <c r="U15" i="19"/>
  <c r="T15" i="19"/>
  <c r="S15" i="19"/>
  <c r="R15" i="19"/>
  <c r="Q15" i="19"/>
  <c r="P15" i="19"/>
  <c r="H15" i="19"/>
  <c r="K14" i="19"/>
  <c r="H14" i="19"/>
  <c r="V13" i="19"/>
  <c r="U13" i="19"/>
  <c r="T13" i="19"/>
  <c r="X13" i="19" s="1"/>
  <c r="S13" i="19"/>
  <c r="W13" i="19" s="1"/>
  <c r="R13" i="19"/>
  <c r="Q13" i="19"/>
  <c r="P13" i="19"/>
  <c r="H13" i="19"/>
  <c r="H12" i="19"/>
  <c r="V11" i="19"/>
  <c r="V16" i="19" s="1"/>
  <c r="U11" i="19"/>
  <c r="U16" i="19" s="1"/>
  <c r="T11" i="19"/>
  <c r="X11" i="19" s="1"/>
  <c r="S11" i="19"/>
  <c r="R11" i="19"/>
  <c r="R16" i="19" s="1"/>
  <c r="Q11" i="19"/>
  <c r="Q16" i="19" s="1"/>
  <c r="P11" i="19"/>
  <c r="H11" i="19"/>
  <c r="K15" i="19" s="1"/>
  <c r="H10" i="19"/>
  <c r="K11" i="19" s="1"/>
  <c r="H9" i="19"/>
  <c r="K9" i="19" s="1"/>
  <c r="X8" i="19"/>
  <c r="W8" i="19"/>
  <c r="P8" i="19"/>
  <c r="H8" i="19"/>
  <c r="K8" i="19" s="1"/>
  <c r="X7" i="19"/>
  <c r="W7" i="19"/>
  <c r="W6" i="19" s="1"/>
  <c r="P7" i="19"/>
  <c r="G59" i="19"/>
  <c r="V6" i="19"/>
  <c r="U6" i="19"/>
  <c r="T6" i="19"/>
  <c r="S6" i="19"/>
  <c r="R6" i="19"/>
  <c r="Q6" i="19"/>
  <c r="X15" i="19" l="1"/>
  <c r="X16" i="19" s="1"/>
  <c r="T16" i="19"/>
  <c r="X6" i="19"/>
  <c r="W11" i="19"/>
  <c r="W15" i="19"/>
  <c r="W16" i="19" s="1"/>
  <c r="H60" i="19"/>
  <c r="B82" i="19"/>
  <c r="B83" i="19" s="1"/>
  <c r="K58" i="20"/>
  <c r="Q56" i="20" s="1"/>
  <c r="C83" i="20"/>
  <c r="B84" i="20"/>
  <c r="H52" i="19"/>
  <c r="H81" i="19"/>
  <c r="K10" i="19"/>
  <c r="K17" i="19"/>
  <c r="H48" i="19"/>
  <c r="K37" i="19"/>
  <c r="H67" i="19"/>
  <c r="K18" i="19" s="1"/>
  <c r="H7" i="19"/>
  <c r="C38" i="19"/>
  <c r="C41" i="19"/>
  <c r="B54" i="19"/>
  <c r="B62" i="19" s="1"/>
  <c r="H62" i="19" s="1"/>
  <c r="H66" i="19"/>
  <c r="S16" i="19"/>
  <c r="K31" i="19"/>
  <c r="K40" i="19" s="1"/>
  <c r="B33" i="19"/>
  <c r="C43" i="19"/>
  <c r="B49" i="19"/>
  <c r="F59" i="19"/>
  <c r="C39" i="19"/>
  <c r="C40" i="19"/>
  <c r="R34" i="18"/>
  <c r="R15" i="18"/>
  <c r="R66" i="18"/>
  <c r="R64" i="18"/>
  <c r="R6" i="18"/>
  <c r="K66" i="18"/>
  <c r="K74" i="18" s="1"/>
  <c r="K64" i="18"/>
  <c r="B70" i="18"/>
  <c r="N58" i="18"/>
  <c r="K90" i="18"/>
  <c r="K49" i="18" s="1"/>
  <c r="K84" i="18"/>
  <c r="K34" i="18" s="1"/>
  <c r="B79" i="18"/>
  <c r="G77" i="18"/>
  <c r="G79" i="18" s="1"/>
  <c r="G81" i="18" s="1"/>
  <c r="H69" i="18"/>
  <c r="G69" i="18"/>
  <c r="G70" i="18" s="1"/>
  <c r="G71" i="18" s="1"/>
  <c r="F69" i="18"/>
  <c r="B66" i="18"/>
  <c r="B81" i="18" s="1"/>
  <c r="B82" i="18" s="1"/>
  <c r="G65" i="18"/>
  <c r="F65" i="18"/>
  <c r="F66" i="18" s="1"/>
  <c r="K47" i="18" s="1"/>
  <c r="D64" i="18"/>
  <c r="G60" i="18"/>
  <c r="F60" i="18"/>
  <c r="B60" i="18"/>
  <c r="H60" i="18" s="1"/>
  <c r="M59" i="18"/>
  <c r="L59" i="18"/>
  <c r="G59" i="18"/>
  <c r="F59" i="18"/>
  <c r="B59" i="18"/>
  <c r="G58" i="18"/>
  <c r="F58" i="18"/>
  <c r="B57" i="18"/>
  <c r="H57" i="18" s="1"/>
  <c r="H56" i="18"/>
  <c r="K55" i="18"/>
  <c r="H55" i="18"/>
  <c r="K13" i="18" s="1"/>
  <c r="R13" i="18" s="1"/>
  <c r="K54" i="18"/>
  <c r="K53" i="18"/>
  <c r="R53" i="18" s="1"/>
  <c r="G52" i="18"/>
  <c r="F52" i="18"/>
  <c r="H52" i="18" s="1"/>
  <c r="B52" i="18"/>
  <c r="K51" i="18"/>
  <c r="G51" i="18"/>
  <c r="F51" i="18"/>
  <c r="B51" i="18"/>
  <c r="B53" i="18" s="1"/>
  <c r="K50" i="18"/>
  <c r="G47" i="18"/>
  <c r="F47" i="18"/>
  <c r="B47" i="18"/>
  <c r="K46" i="18"/>
  <c r="H46" i="18"/>
  <c r="C46" i="18" s="1"/>
  <c r="K45" i="18"/>
  <c r="H45" i="18"/>
  <c r="C45" i="18" s="1"/>
  <c r="K44" i="18"/>
  <c r="H44" i="18"/>
  <c r="C44" i="18" s="1"/>
  <c r="K43" i="18"/>
  <c r="H43" i="18"/>
  <c r="C43" i="18" s="1"/>
  <c r="H42" i="18"/>
  <c r="C42" i="18" s="1"/>
  <c r="B40" i="18"/>
  <c r="H40" i="18" s="1"/>
  <c r="C40" i="18" s="1"/>
  <c r="K39" i="18"/>
  <c r="B39" i="18"/>
  <c r="H39" i="18" s="1"/>
  <c r="C39" i="18" s="1"/>
  <c r="B38" i="18"/>
  <c r="H38" i="18" s="1"/>
  <c r="B37" i="18"/>
  <c r="K36" i="18"/>
  <c r="K35" i="18"/>
  <c r="R35" i="18" s="1"/>
  <c r="K33" i="18"/>
  <c r="K32" i="18"/>
  <c r="G32" i="18"/>
  <c r="F32" i="18"/>
  <c r="B32" i="18"/>
  <c r="H31" i="18"/>
  <c r="C31" i="18" s="1"/>
  <c r="H30" i="18"/>
  <c r="C30" i="18" s="1"/>
  <c r="K29" i="18"/>
  <c r="R29" i="18" s="1"/>
  <c r="H29" i="18"/>
  <c r="K21" i="18" s="1"/>
  <c r="K28" i="18"/>
  <c r="H28" i="18"/>
  <c r="C28" i="18" s="1"/>
  <c r="K27" i="18"/>
  <c r="H27" i="18"/>
  <c r="C27" i="18" s="1"/>
  <c r="K26" i="18"/>
  <c r="H26" i="18"/>
  <c r="C26" i="18" s="1"/>
  <c r="H25" i="18"/>
  <c r="C25" i="18" s="1"/>
  <c r="H24" i="18"/>
  <c r="C24" i="18" s="1"/>
  <c r="H23" i="18"/>
  <c r="C23" i="18" s="1"/>
  <c r="H22" i="18"/>
  <c r="C22" i="18" s="1"/>
  <c r="H21" i="18"/>
  <c r="C21" i="18" s="1"/>
  <c r="H20" i="18"/>
  <c r="C20" i="18" s="1"/>
  <c r="H19" i="18"/>
  <c r="C19" i="18" s="1"/>
  <c r="H18" i="18"/>
  <c r="C18" i="18" s="1"/>
  <c r="H17" i="18"/>
  <c r="C17" i="18" s="1"/>
  <c r="H16" i="18"/>
  <c r="K16" i="18" s="1"/>
  <c r="R16" i="18" s="1"/>
  <c r="H15" i="18"/>
  <c r="C15" i="18" s="1"/>
  <c r="H14" i="18"/>
  <c r="C14" i="18" s="1"/>
  <c r="H13" i="18"/>
  <c r="C13" i="18" s="1"/>
  <c r="H12" i="18"/>
  <c r="C12" i="18" s="1"/>
  <c r="H11" i="18"/>
  <c r="C11" i="18" s="1"/>
  <c r="H10" i="18"/>
  <c r="H9" i="18"/>
  <c r="K9" i="18" s="1"/>
  <c r="H8" i="18"/>
  <c r="K8" i="18" s="1"/>
  <c r="H7" i="18"/>
  <c r="F70" i="18" l="1"/>
  <c r="H58" i="18"/>
  <c r="H65" i="18"/>
  <c r="H70" i="18"/>
  <c r="H71" i="18" s="1"/>
  <c r="H80" i="18"/>
  <c r="Y58" i="20"/>
  <c r="C48" i="19"/>
  <c r="B75" i="19"/>
  <c r="K7" i="19"/>
  <c r="H33" i="19"/>
  <c r="C33" i="19" s="1"/>
  <c r="K52" i="19"/>
  <c r="K56" i="19" s="1"/>
  <c r="H59" i="19"/>
  <c r="K12" i="19" s="1"/>
  <c r="R36" i="18"/>
  <c r="R46" i="18"/>
  <c r="R50" i="18"/>
  <c r="R26" i="18"/>
  <c r="R32" i="18"/>
  <c r="K92" i="18"/>
  <c r="K93" i="18" s="1"/>
  <c r="K15" i="18"/>
  <c r="C16" i="18"/>
  <c r="B48" i="18"/>
  <c r="K31" i="18"/>
  <c r="R31" i="18" s="1"/>
  <c r="K52" i="18"/>
  <c r="R52" i="18" s="1"/>
  <c r="K17" i="18"/>
  <c r="R17" i="18" s="1"/>
  <c r="B61" i="18"/>
  <c r="H37" i="18"/>
  <c r="H47" i="18" s="1"/>
  <c r="C47" i="18" s="1"/>
  <c r="H32" i="18"/>
  <c r="C32" i="18" s="1"/>
  <c r="C38" i="18"/>
  <c r="H59" i="18"/>
  <c r="G61" i="18"/>
  <c r="F71" i="18"/>
  <c r="K48" i="18"/>
  <c r="R48" i="18" s="1"/>
  <c r="K19" i="18"/>
  <c r="R19" i="18" s="1"/>
  <c r="C7" i="18"/>
  <c r="C10" i="18"/>
  <c r="K20" i="18"/>
  <c r="C29" i="18"/>
  <c r="H51" i="18"/>
  <c r="F61" i="18"/>
  <c r="G66" i="18"/>
  <c r="K37" i="18" s="1"/>
  <c r="K7" i="18"/>
  <c r="K10" i="18"/>
  <c r="R10" i="18" s="1"/>
  <c r="K38" i="18"/>
  <c r="R38" i="18" s="1"/>
  <c r="R43" i="18"/>
  <c r="H66" i="18"/>
  <c r="K18" i="18" s="1"/>
  <c r="O58" i="17"/>
  <c r="K88" i="17"/>
  <c r="K49" i="17" s="1"/>
  <c r="K83" i="17"/>
  <c r="G80" i="17"/>
  <c r="B80" i="17"/>
  <c r="K76" i="17"/>
  <c r="B72" i="17"/>
  <c r="H71" i="17"/>
  <c r="H72" i="17" s="1"/>
  <c r="K19" i="17" s="1"/>
  <c r="F71" i="17"/>
  <c r="F72" i="17" s="1"/>
  <c r="K48" i="17" s="1"/>
  <c r="H70" i="17"/>
  <c r="G70" i="17"/>
  <c r="G71" i="17" s="1"/>
  <c r="G72" i="17" s="1"/>
  <c r="K38" i="17" s="1"/>
  <c r="F70" i="17"/>
  <c r="B67" i="17"/>
  <c r="G66" i="17"/>
  <c r="G67" i="17" s="1"/>
  <c r="F66" i="17"/>
  <c r="F67" i="17" s="1"/>
  <c r="K47" i="17" s="1"/>
  <c r="D65" i="17"/>
  <c r="G61" i="17"/>
  <c r="F61" i="17"/>
  <c r="B61" i="17"/>
  <c r="H61" i="17" s="1"/>
  <c r="G60" i="17"/>
  <c r="F60" i="17"/>
  <c r="B60" i="17"/>
  <c r="F59" i="17"/>
  <c r="K52" i="17" s="1"/>
  <c r="B58" i="17"/>
  <c r="H58" i="17" s="1"/>
  <c r="H57" i="17"/>
  <c r="W56" i="17"/>
  <c r="U56" i="17"/>
  <c r="S56" i="17"/>
  <c r="H56" i="17"/>
  <c r="K14" i="17" s="1"/>
  <c r="K55" i="17"/>
  <c r="K53" i="17"/>
  <c r="G53" i="17"/>
  <c r="F53" i="17"/>
  <c r="H53" i="17" s="1"/>
  <c r="B53" i="17"/>
  <c r="G52" i="17"/>
  <c r="G62" i="17" s="1"/>
  <c r="F52" i="17"/>
  <c r="F62" i="17" s="1"/>
  <c r="B52" i="17"/>
  <c r="B54" i="17" s="1"/>
  <c r="K51" i="17"/>
  <c r="K50" i="17"/>
  <c r="G48" i="17"/>
  <c r="F48" i="17"/>
  <c r="B48" i="17"/>
  <c r="H47" i="17"/>
  <c r="C47" i="17" s="1"/>
  <c r="K46" i="17"/>
  <c r="H46" i="17"/>
  <c r="C46" i="17" s="1"/>
  <c r="H45" i="17"/>
  <c r="C45" i="17" s="1"/>
  <c r="K44" i="17"/>
  <c r="H44" i="17"/>
  <c r="C44" i="17" s="1"/>
  <c r="K43" i="17"/>
  <c r="H43" i="17"/>
  <c r="C43" i="17" s="1"/>
  <c r="B41" i="17"/>
  <c r="H41" i="17" s="1"/>
  <c r="B40" i="17"/>
  <c r="H40" i="17" s="1"/>
  <c r="K39" i="17"/>
  <c r="B39" i="17"/>
  <c r="H39" i="17" s="1"/>
  <c r="B38" i="17"/>
  <c r="K36" i="17"/>
  <c r="K35" i="17"/>
  <c r="K34" i="17"/>
  <c r="G33" i="17"/>
  <c r="F33" i="17"/>
  <c r="B33" i="17"/>
  <c r="K32" i="17"/>
  <c r="H32" i="17"/>
  <c r="C32" i="17" s="1"/>
  <c r="H31" i="17"/>
  <c r="K20" i="17" s="1"/>
  <c r="K30" i="17"/>
  <c r="H30" i="17"/>
  <c r="K29" i="17"/>
  <c r="H29" i="17"/>
  <c r="K28" i="17"/>
  <c r="H28" i="17"/>
  <c r="K27" i="17"/>
  <c r="H27" i="17"/>
  <c r="K26" i="17"/>
  <c r="H26" i="17"/>
  <c r="H25" i="17"/>
  <c r="H24" i="17"/>
  <c r="H23" i="17"/>
  <c r="H22" i="17"/>
  <c r="K21" i="17"/>
  <c r="H21" i="17"/>
  <c r="H20" i="17"/>
  <c r="H19" i="17"/>
  <c r="H18" i="17"/>
  <c r="H17" i="17"/>
  <c r="K16" i="17" s="1"/>
  <c r="V16" i="17"/>
  <c r="H16" i="17"/>
  <c r="V15" i="17"/>
  <c r="U15" i="17"/>
  <c r="T15" i="17"/>
  <c r="X15" i="17" s="1"/>
  <c r="S15" i="17"/>
  <c r="S16" i="17" s="1"/>
  <c r="R15" i="17"/>
  <c r="Q15" i="17"/>
  <c r="P15" i="17"/>
  <c r="H15" i="17"/>
  <c r="H14" i="17"/>
  <c r="V13" i="17"/>
  <c r="U13" i="17"/>
  <c r="T13" i="17"/>
  <c r="X13" i="17" s="1"/>
  <c r="S13" i="17"/>
  <c r="R13" i="17"/>
  <c r="R16" i="17" s="1"/>
  <c r="Q13" i="17"/>
  <c r="P13" i="17"/>
  <c r="H13" i="17"/>
  <c r="H12" i="17"/>
  <c r="V11" i="17"/>
  <c r="U11" i="17"/>
  <c r="W11" i="17" s="1"/>
  <c r="T11" i="17"/>
  <c r="S11" i="17"/>
  <c r="R11" i="17"/>
  <c r="Q11" i="17"/>
  <c r="Q16" i="17" s="1"/>
  <c r="P11" i="17"/>
  <c r="H11" i="17"/>
  <c r="K15" i="17" s="1"/>
  <c r="H10" i="17"/>
  <c r="K11" i="17" s="1"/>
  <c r="H9" i="17"/>
  <c r="K9" i="17" s="1"/>
  <c r="X8" i="17"/>
  <c r="W8" i="17"/>
  <c r="P8" i="17"/>
  <c r="H8" i="17"/>
  <c r="K8" i="17" s="1"/>
  <c r="X7" i="17"/>
  <c r="W7" i="17"/>
  <c r="P7" i="17"/>
  <c r="H7" i="17"/>
  <c r="G59" i="17"/>
  <c r="V6" i="17"/>
  <c r="U6" i="17"/>
  <c r="T6" i="17"/>
  <c r="S6" i="17"/>
  <c r="R6" i="17"/>
  <c r="Q6" i="17"/>
  <c r="W13" i="17" l="1"/>
  <c r="K17" i="17"/>
  <c r="H60" i="17"/>
  <c r="H81" i="17"/>
  <c r="K12" i="18"/>
  <c r="R12" i="18" s="1"/>
  <c r="B62" i="17"/>
  <c r="H62" i="17" s="1"/>
  <c r="T16" i="17"/>
  <c r="U16" i="17"/>
  <c r="H66" i="17"/>
  <c r="B82" i="17"/>
  <c r="B83" i="17" s="1"/>
  <c r="K23" i="19"/>
  <c r="K58" i="19" s="1"/>
  <c r="Y58" i="19" s="1"/>
  <c r="C83" i="19"/>
  <c r="B84" i="19"/>
  <c r="R40" i="18"/>
  <c r="K40" i="18"/>
  <c r="H61" i="18"/>
  <c r="C37" i="18"/>
  <c r="B74" i="18"/>
  <c r="C82" i="18" s="1"/>
  <c r="K23" i="18"/>
  <c r="R7" i="18"/>
  <c r="R23" i="18" s="1"/>
  <c r="R56" i="18"/>
  <c r="K56" i="18"/>
  <c r="H59" i="17"/>
  <c r="K10" i="17"/>
  <c r="H38" i="17"/>
  <c r="H48" i="17" s="1"/>
  <c r="H33" i="17"/>
  <c r="C33" i="17" s="1"/>
  <c r="B49" i="17"/>
  <c r="C41" i="17"/>
  <c r="K56" i="17"/>
  <c r="C39" i="17"/>
  <c r="C40" i="17"/>
  <c r="K37" i="17"/>
  <c r="H67" i="17"/>
  <c r="K18" i="17" s="1"/>
  <c r="W16" i="17"/>
  <c r="X11" i="17"/>
  <c r="X16" i="17" s="1"/>
  <c r="W15" i="17"/>
  <c r="W6" i="17"/>
  <c r="K7" i="17"/>
  <c r="H52" i="17"/>
  <c r="K12" i="17" s="1"/>
  <c r="X6" i="17"/>
  <c r="K31" i="17"/>
  <c r="K40" i="17" s="1"/>
  <c r="B7" i="16"/>
  <c r="O58" i="16"/>
  <c r="B75" i="17" l="1"/>
  <c r="B84" i="17" s="1"/>
  <c r="Q56" i="19"/>
  <c r="B83" i="18"/>
  <c r="K58" i="18"/>
  <c r="O58" i="18" s="1"/>
  <c r="C38" i="17"/>
  <c r="C83" i="17"/>
  <c r="C48" i="17"/>
  <c r="K23" i="17"/>
  <c r="K58" i="17" s="1"/>
  <c r="K88" i="16"/>
  <c r="K49" i="16" s="1"/>
  <c r="K83" i="16"/>
  <c r="G80" i="16"/>
  <c r="B80" i="16"/>
  <c r="K76" i="16"/>
  <c r="B72" i="16"/>
  <c r="F72" i="16"/>
  <c r="K48" i="16" s="1"/>
  <c r="H70" i="16"/>
  <c r="G70" i="16"/>
  <c r="F70" i="16"/>
  <c r="F71" i="16" s="1"/>
  <c r="B67" i="16"/>
  <c r="G66" i="16"/>
  <c r="F66" i="16"/>
  <c r="F67" i="16" s="1"/>
  <c r="K47" i="16" s="1"/>
  <c r="D65" i="16"/>
  <c r="G61" i="16"/>
  <c r="F61" i="16"/>
  <c r="B61" i="16"/>
  <c r="G60" i="16"/>
  <c r="F60" i="16"/>
  <c r="B60" i="16"/>
  <c r="G59" i="16"/>
  <c r="F59" i="16"/>
  <c r="K52" i="16" s="1"/>
  <c r="H58" i="16"/>
  <c r="B58" i="16"/>
  <c r="H57" i="16"/>
  <c r="W56" i="16"/>
  <c r="U56" i="16"/>
  <c r="S56" i="16"/>
  <c r="H56" i="16"/>
  <c r="K14" i="16" s="1"/>
  <c r="K55" i="16"/>
  <c r="K53" i="16"/>
  <c r="G53" i="16"/>
  <c r="F53" i="16"/>
  <c r="B53" i="16"/>
  <c r="G52" i="16"/>
  <c r="G62" i="16" s="1"/>
  <c r="F52" i="16"/>
  <c r="F62" i="16" s="1"/>
  <c r="B52" i="16"/>
  <c r="K51" i="16"/>
  <c r="K50" i="16"/>
  <c r="G48" i="16"/>
  <c r="F48" i="16"/>
  <c r="B48" i="16"/>
  <c r="H47" i="16"/>
  <c r="C47" i="16" s="1"/>
  <c r="K46" i="16"/>
  <c r="H46" i="16"/>
  <c r="C46" i="16" s="1"/>
  <c r="H45" i="16"/>
  <c r="C45" i="16" s="1"/>
  <c r="K44" i="16"/>
  <c r="H44" i="16"/>
  <c r="C44" i="16" s="1"/>
  <c r="K43" i="16"/>
  <c r="H43" i="16"/>
  <c r="B41" i="16"/>
  <c r="H41" i="16" s="1"/>
  <c r="B40" i="16"/>
  <c r="H40" i="16" s="1"/>
  <c r="K39" i="16"/>
  <c r="B39" i="16"/>
  <c r="H39" i="16" s="1"/>
  <c r="B38" i="16"/>
  <c r="H38" i="16" s="1"/>
  <c r="K36" i="16"/>
  <c r="K35" i="16"/>
  <c r="K34" i="16"/>
  <c r="G33" i="16"/>
  <c r="F33" i="16"/>
  <c r="B33" i="16"/>
  <c r="K32" i="16"/>
  <c r="H32" i="16"/>
  <c r="C32" i="16"/>
  <c r="H31" i="16"/>
  <c r="K30" i="16"/>
  <c r="H30" i="16"/>
  <c r="K21" i="16" s="1"/>
  <c r="K29" i="16"/>
  <c r="H29" i="16"/>
  <c r="K28" i="16"/>
  <c r="H28" i="16"/>
  <c r="K27" i="16"/>
  <c r="H27" i="16"/>
  <c r="K26" i="16"/>
  <c r="H26" i="16"/>
  <c r="H25" i="16"/>
  <c r="H24" i="16"/>
  <c r="H23" i="16"/>
  <c r="H22" i="16"/>
  <c r="H21" i="16"/>
  <c r="K20" i="16"/>
  <c r="H20" i="16"/>
  <c r="H19" i="16"/>
  <c r="H18" i="16"/>
  <c r="H17" i="16"/>
  <c r="K16" i="16" s="1"/>
  <c r="Q16" i="16"/>
  <c r="H16" i="16"/>
  <c r="V15" i="16"/>
  <c r="U15" i="16"/>
  <c r="T15" i="16"/>
  <c r="S15" i="16"/>
  <c r="R15" i="16"/>
  <c r="Q15" i="16"/>
  <c r="P15" i="16"/>
  <c r="H15" i="16"/>
  <c r="H14" i="16"/>
  <c r="V13" i="16"/>
  <c r="U13" i="16"/>
  <c r="U16" i="16" s="1"/>
  <c r="T13" i="16"/>
  <c r="X13" i="16" s="1"/>
  <c r="S13" i="16"/>
  <c r="W13" i="16" s="1"/>
  <c r="R13" i="16"/>
  <c r="Q13" i="16"/>
  <c r="P13" i="16"/>
  <c r="H13" i="16"/>
  <c r="H12" i="16"/>
  <c r="V11" i="16"/>
  <c r="V16" i="16" s="1"/>
  <c r="U11" i="16"/>
  <c r="T11" i="16"/>
  <c r="X11" i="16" s="1"/>
  <c r="S11" i="16"/>
  <c r="R11" i="16"/>
  <c r="R16" i="16" s="1"/>
  <c r="Q11" i="16"/>
  <c r="P11" i="16"/>
  <c r="H11" i="16"/>
  <c r="K15" i="16" s="1"/>
  <c r="H10" i="16"/>
  <c r="K11" i="16" s="1"/>
  <c r="H9" i="16"/>
  <c r="K9" i="16" s="1"/>
  <c r="X8" i="16"/>
  <c r="W8" i="16"/>
  <c r="X6" i="16" s="1"/>
  <c r="P8" i="16"/>
  <c r="H8" i="16"/>
  <c r="K8" i="16" s="1"/>
  <c r="X7" i="16"/>
  <c r="W7" i="16"/>
  <c r="P7" i="16"/>
  <c r="H7" i="16"/>
  <c r="K7" i="16" s="1"/>
  <c r="V6" i="16"/>
  <c r="U6" i="16"/>
  <c r="T6" i="16"/>
  <c r="S6" i="16"/>
  <c r="R6" i="16"/>
  <c r="Q6" i="16"/>
  <c r="N58" i="15"/>
  <c r="K90" i="15"/>
  <c r="K49" i="15" s="1"/>
  <c r="K84" i="15"/>
  <c r="K34" i="15" s="1"/>
  <c r="G79" i="15"/>
  <c r="G81" i="15" s="1"/>
  <c r="B79" i="15"/>
  <c r="G77" i="15"/>
  <c r="B71" i="15"/>
  <c r="G70" i="15"/>
  <c r="H69" i="15"/>
  <c r="G69" i="15"/>
  <c r="F69" i="15"/>
  <c r="K74" i="15"/>
  <c r="B66" i="15"/>
  <c r="B81" i="15" s="1"/>
  <c r="B82" i="15" s="1"/>
  <c r="G65" i="15"/>
  <c r="G66" i="15" s="1"/>
  <c r="K37" i="15" s="1"/>
  <c r="F65" i="15"/>
  <c r="F66" i="15" s="1"/>
  <c r="K47" i="15" s="1"/>
  <c r="D64" i="15"/>
  <c r="G60" i="15"/>
  <c r="F60" i="15"/>
  <c r="B60" i="15"/>
  <c r="M59" i="15"/>
  <c r="L59" i="15"/>
  <c r="G59" i="15"/>
  <c r="F59" i="15"/>
  <c r="B59" i="15"/>
  <c r="G58" i="15"/>
  <c r="F58" i="15"/>
  <c r="H57" i="15"/>
  <c r="B57" i="15"/>
  <c r="H56" i="15"/>
  <c r="K55" i="15"/>
  <c r="H55" i="15"/>
  <c r="K13" i="15" s="1"/>
  <c r="R13" i="15" s="1"/>
  <c r="K54" i="15"/>
  <c r="K53" i="15"/>
  <c r="R53" i="15" s="1"/>
  <c r="G52" i="15"/>
  <c r="F52" i="15"/>
  <c r="B52" i="15"/>
  <c r="K51" i="15"/>
  <c r="G51" i="15"/>
  <c r="G61" i="15" s="1"/>
  <c r="F51" i="15"/>
  <c r="F61" i="15" s="1"/>
  <c r="B51" i="15"/>
  <c r="K50" i="15"/>
  <c r="R50" i="15" s="1"/>
  <c r="G47" i="15"/>
  <c r="F47" i="15"/>
  <c r="B47" i="15"/>
  <c r="K46" i="15"/>
  <c r="R46" i="15" s="1"/>
  <c r="H46" i="15"/>
  <c r="C46" i="15" s="1"/>
  <c r="K45" i="15"/>
  <c r="H45" i="15"/>
  <c r="C45" i="15" s="1"/>
  <c r="K44" i="15"/>
  <c r="H44" i="15"/>
  <c r="C44" i="15" s="1"/>
  <c r="K43" i="15"/>
  <c r="R43" i="15" s="1"/>
  <c r="H43" i="15"/>
  <c r="C43" i="15" s="1"/>
  <c r="H42" i="15"/>
  <c r="C42" i="15" s="1"/>
  <c r="B40" i="15"/>
  <c r="K39" i="15"/>
  <c r="B39" i="15"/>
  <c r="B38" i="15"/>
  <c r="H38" i="15" s="1"/>
  <c r="B37" i="15"/>
  <c r="H37" i="15" s="1"/>
  <c r="K36" i="15"/>
  <c r="R36" i="15" s="1"/>
  <c r="K35" i="15"/>
  <c r="R35" i="15" s="1"/>
  <c r="K33" i="15"/>
  <c r="K32" i="15"/>
  <c r="R32" i="15" s="1"/>
  <c r="G32" i="15"/>
  <c r="F32" i="15"/>
  <c r="B32" i="15"/>
  <c r="H31" i="15"/>
  <c r="C31" i="15" s="1"/>
  <c r="H30" i="15"/>
  <c r="C30" i="15" s="1"/>
  <c r="K29" i="15"/>
  <c r="R29" i="15" s="1"/>
  <c r="H29" i="15"/>
  <c r="K21" i="15" s="1"/>
  <c r="C29" i="15"/>
  <c r="K28" i="15"/>
  <c r="H28" i="15"/>
  <c r="C28" i="15" s="1"/>
  <c r="K27" i="15"/>
  <c r="H27" i="15"/>
  <c r="C27" i="15" s="1"/>
  <c r="K26" i="15"/>
  <c r="R26" i="15" s="1"/>
  <c r="H26" i="15"/>
  <c r="C26" i="15" s="1"/>
  <c r="H25" i="15"/>
  <c r="C25" i="15"/>
  <c r="H24" i="15"/>
  <c r="C24" i="15" s="1"/>
  <c r="H23" i="15"/>
  <c r="H22" i="15"/>
  <c r="C22" i="15"/>
  <c r="H21" i="15"/>
  <c r="C21" i="15" s="1"/>
  <c r="K20" i="15"/>
  <c r="H20" i="15"/>
  <c r="H19" i="15"/>
  <c r="C19" i="15" s="1"/>
  <c r="H18" i="15"/>
  <c r="C18" i="15"/>
  <c r="H17" i="15"/>
  <c r="C17" i="15" s="1"/>
  <c r="H16" i="15"/>
  <c r="K16" i="15" s="1"/>
  <c r="R16" i="15" s="1"/>
  <c r="H15" i="15"/>
  <c r="C15" i="15" s="1"/>
  <c r="H14" i="15"/>
  <c r="C14" i="15" s="1"/>
  <c r="H13" i="15"/>
  <c r="C13" i="15" s="1"/>
  <c r="H12" i="15"/>
  <c r="C12" i="15" s="1"/>
  <c r="H11" i="15"/>
  <c r="C11" i="15" s="1"/>
  <c r="H10" i="15"/>
  <c r="C10" i="15" s="1"/>
  <c r="H9" i="15"/>
  <c r="K9" i="15" s="1"/>
  <c r="H8" i="15"/>
  <c r="K8" i="15" s="1"/>
  <c r="H7" i="15"/>
  <c r="C7" i="15"/>
  <c r="X15" i="16" l="1"/>
  <c r="H58" i="15"/>
  <c r="W11" i="16"/>
  <c r="W15" i="16"/>
  <c r="W16" i="16" s="1"/>
  <c r="H53" i="16"/>
  <c r="H60" i="16"/>
  <c r="B82" i="16"/>
  <c r="B83" i="16" s="1"/>
  <c r="X16" i="16"/>
  <c r="G71" i="16"/>
  <c r="G72" i="16" s="1"/>
  <c r="K38" i="16" s="1"/>
  <c r="C16" i="15"/>
  <c r="T16" i="16"/>
  <c r="H66" i="16"/>
  <c r="H72" i="16"/>
  <c r="K19" i="16" s="1"/>
  <c r="H71" i="16"/>
  <c r="H81" i="16"/>
  <c r="Y58" i="17"/>
  <c r="Q56" i="17"/>
  <c r="H52" i="16"/>
  <c r="K17" i="16"/>
  <c r="H61" i="16"/>
  <c r="K10" i="16"/>
  <c r="K56" i="16"/>
  <c r="H59" i="16"/>
  <c r="K12" i="16" s="1"/>
  <c r="H48" i="16"/>
  <c r="C38" i="16"/>
  <c r="C41" i="16"/>
  <c r="B54" i="16"/>
  <c r="B62" i="16" s="1"/>
  <c r="H62" i="16" s="1"/>
  <c r="W6" i="16"/>
  <c r="S16" i="16"/>
  <c r="K31" i="16"/>
  <c r="H33" i="16"/>
  <c r="C33" i="16" s="1"/>
  <c r="C43" i="16"/>
  <c r="B49" i="16"/>
  <c r="G67" i="16"/>
  <c r="C39" i="16"/>
  <c r="C40" i="16"/>
  <c r="B53" i="15"/>
  <c r="B61" i="15" s="1"/>
  <c r="H61" i="15" s="1"/>
  <c r="H52" i="15"/>
  <c r="K17" i="15"/>
  <c r="R17" i="15" s="1"/>
  <c r="H32" i="15"/>
  <c r="C32" i="15" s="1"/>
  <c r="K52" i="15"/>
  <c r="R52" i="15" s="1"/>
  <c r="H59" i="15"/>
  <c r="K7" i="15"/>
  <c r="R7" i="15" s="1"/>
  <c r="K10" i="15"/>
  <c r="R10" i="15" s="1"/>
  <c r="G71" i="15"/>
  <c r="K38" i="15"/>
  <c r="R38" i="15" s="1"/>
  <c r="K92" i="15"/>
  <c r="K93" i="15" s="1"/>
  <c r="K15" i="15"/>
  <c r="B48" i="15"/>
  <c r="C37" i="15"/>
  <c r="H80" i="15"/>
  <c r="C20" i="15"/>
  <c r="C23" i="15"/>
  <c r="H39" i="15"/>
  <c r="C39" i="15" s="1"/>
  <c r="H40" i="15"/>
  <c r="C40" i="15" s="1"/>
  <c r="H60" i="15"/>
  <c r="H65" i="15"/>
  <c r="H66" i="15"/>
  <c r="K18" i="15" s="1"/>
  <c r="H70" i="15"/>
  <c r="K31" i="15"/>
  <c r="R31" i="15" s="1"/>
  <c r="C38" i="15"/>
  <c r="H51" i="15"/>
  <c r="K12" i="15" s="1"/>
  <c r="F70" i="15"/>
  <c r="H20" i="14"/>
  <c r="K66" i="14"/>
  <c r="N58" i="14"/>
  <c r="K90" i="14"/>
  <c r="K49" i="14" s="1"/>
  <c r="K84" i="14"/>
  <c r="K34" i="14" s="1"/>
  <c r="B79" i="14"/>
  <c r="G77" i="14"/>
  <c r="G79" i="14" s="1"/>
  <c r="K74" i="14"/>
  <c r="B70" i="14"/>
  <c r="B71" i="14" s="1"/>
  <c r="H69" i="14"/>
  <c r="G69" i="14"/>
  <c r="F69" i="14"/>
  <c r="F66" i="14"/>
  <c r="K47" i="14" s="1"/>
  <c r="B66" i="14"/>
  <c r="G65" i="14"/>
  <c r="G66" i="14" s="1"/>
  <c r="F65" i="14"/>
  <c r="D64" i="14"/>
  <c r="G60" i="14"/>
  <c r="F60" i="14"/>
  <c r="B60" i="14"/>
  <c r="M59" i="14"/>
  <c r="L59" i="14"/>
  <c r="G59" i="14"/>
  <c r="F59" i="14"/>
  <c r="B59" i="14"/>
  <c r="G58" i="14"/>
  <c r="F58" i="14"/>
  <c r="B57" i="14"/>
  <c r="H57" i="14" s="1"/>
  <c r="H56" i="14"/>
  <c r="K55" i="14"/>
  <c r="H55" i="14"/>
  <c r="K13" i="14" s="1"/>
  <c r="R13" i="14" s="1"/>
  <c r="K54" i="14"/>
  <c r="K53" i="14"/>
  <c r="R53" i="14" s="1"/>
  <c r="G52" i="14"/>
  <c r="F52" i="14"/>
  <c r="B52" i="14"/>
  <c r="K51" i="14"/>
  <c r="G51" i="14"/>
  <c r="G61" i="14" s="1"/>
  <c r="F51" i="14"/>
  <c r="B51" i="14"/>
  <c r="B53" i="14" s="1"/>
  <c r="K50" i="14"/>
  <c r="R50" i="14" s="1"/>
  <c r="G47" i="14"/>
  <c r="F47" i="14"/>
  <c r="B47" i="14"/>
  <c r="K46" i="14"/>
  <c r="R46" i="14" s="1"/>
  <c r="H46" i="14"/>
  <c r="C46" i="14"/>
  <c r="K45" i="14"/>
  <c r="H45" i="14"/>
  <c r="C45" i="14" s="1"/>
  <c r="K44" i="14"/>
  <c r="H44" i="14"/>
  <c r="C44" i="14" s="1"/>
  <c r="K43" i="14"/>
  <c r="R43" i="14" s="1"/>
  <c r="H43" i="14"/>
  <c r="C43" i="14" s="1"/>
  <c r="H42" i="14"/>
  <c r="C42" i="14" s="1"/>
  <c r="B40" i="14"/>
  <c r="H40" i="14" s="1"/>
  <c r="K39" i="14"/>
  <c r="B39" i="14"/>
  <c r="H39" i="14" s="1"/>
  <c r="B38" i="14"/>
  <c r="H38" i="14" s="1"/>
  <c r="B37" i="14"/>
  <c r="K36" i="14"/>
  <c r="R36" i="14" s="1"/>
  <c r="K35" i="14"/>
  <c r="R35" i="14" s="1"/>
  <c r="K33" i="14"/>
  <c r="K32" i="14"/>
  <c r="R32" i="14" s="1"/>
  <c r="G32" i="14"/>
  <c r="F32" i="14"/>
  <c r="B32" i="14"/>
  <c r="H31" i="14"/>
  <c r="C31" i="14" s="1"/>
  <c r="H30" i="14"/>
  <c r="C30" i="14" s="1"/>
  <c r="K29" i="14"/>
  <c r="R29" i="14" s="1"/>
  <c r="H29" i="14"/>
  <c r="C29" i="14" s="1"/>
  <c r="K28" i="14"/>
  <c r="H28" i="14"/>
  <c r="C28" i="14" s="1"/>
  <c r="K27" i="14"/>
  <c r="H27" i="14"/>
  <c r="C27" i="14" s="1"/>
  <c r="K26" i="14"/>
  <c r="R26" i="14" s="1"/>
  <c r="H26" i="14"/>
  <c r="C26" i="14"/>
  <c r="H25" i="14"/>
  <c r="C25" i="14" s="1"/>
  <c r="H24" i="14"/>
  <c r="C24" i="14" s="1"/>
  <c r="H23" i="14"/>
  <c r="C23" i="14" s="1"/>
  <c r="H22" i="14"/>
  <c r="C22" i="14" s="1"/>
  <c r="H21" i="14"/>
  <c r="C21" i="14" s="1"/>
  <c r="C20" i="14"/>
  <c r="H19" i="14"/>
  <c r="C19" i="14"/>
  <c r="H18" i="14"/>
  <c r="C18" i="14" s="1"/>
  <c r="H17" i="14"/>
  <c r="C17" i="14" s="1"/>
  <c r="H16" i="14"/>
  <c r="K16" i="14" s="1"/>
  <c r="R16" i="14" s="1"/>
  <c r="C16" i="14"/>
  <c r="H15" i="14"/>
  <c r="C15" i="14" s="1"/>
  <c r="H14" i="14"/>
  <c r="C14" i="14" s="1"/>
  <c r="H13" i="14"/>
  <c r="C13" i="14" s="1"/>
  <c r="H12" i="14"/>
  <c r="C12" i="14" s="1"/>
  <c r="H11" i="14"/>
  <c r="C11" i="14" s="1"/>
  <c r="H10" i="14"/>
  <c r="C10" i="14" s="1"/>
  <c r="H9" i="14"/>
  <c r="K9" i="14" s="1"/>
  <c r="H8" i="14"/>
  <c r="K8" i="14" s="1"/>
  <c r="H7" i="14"/>
  <c r="G70" i="14" l="1"/>
  <c r="H70" i="14"/>
  <c r="H71" i="14" s="1"/>
  <c r="H52" i="14"/>
  <c r="F70" i="14"/>
  <c r="F71" i="14" s="1"/>
  <c r="B75" i="16"/>
  <c r="C83" i="16" s="1"/>
  <c r="K23" i="16"/>
  <c r="H67" i="16"/>
  <c r="K18" i="16" s="1"/>
  <c r="K37" i="16"/>
  <c r="K40" i="16" s="1"/>
  <c r="C48" i="16"/>
  <c r="R40" i="15"/>
  <c r="B74" i="15"/>
  <c r="C82" i="15" s="1"/>
  <c r="R12" i="15"/>
  <c r="K23" i="15"/>
  <c r="F71" i="15"/>
  <c r="K48" i="15"/>
  <c r="K19" i="15"/>
  <c r="R19" i="15" s="1"/>
  <c r="H71" i="15"/>
  <c r="H47" i="15"/>
  <c r="C47" i="15" s="1"/>
  <c r="K40" i="15"/>
  <c r="H60" i="14"/>
  <c r="H58" i="14"/>
  <c r="K92" i="14"/>
  <c r="K93" i="14" s="1"/>
  <c r="K31" i="14"/>
  <c r="R31" i="14" s="1"/>
  <c r="K52" i="14"/>
  <c r="R52" i="14" s="1"/>
  <c r="H59" i="14"/>
  <c r="K17" i="14"/>
  <c r="R17" i="14" s="1"/>
  <c r="H37" i="14"/>
  <c r="H47" i="14" s="1"/>
  <c r="C39" i="14"/>
  <c r="C40" i="14"/>
  <c r="H32" i="14"/>
  <c r="C32" i="14" s="1"/>
  <c r="C38" i="14"/>
  <c r="B61" i="14"/>
  <c r="H61" i="14" s="1"/>
  <c r="K19" i="14"/>
  <c r="R19" i="14" s="1"/>
  <c r="K37" i="14"/>
  <c r="H66" i="14"/>
  <c r="K18" i="14" s="1"/>
  <c r="B81" i="14"/>
  <c r="B82" i="14" s="1"/>
  <c r="K48" i="14"/>
  <c r="R48" i="14" s="1"/>
  <c r="G71" i="14"/>
  <c r="K38" i="14"/>
  <c r="R38" i="14" s="1"/>
  <c r="G81" i="14"/>
  <c r="H80" i="14"/>
  <c r="K10" i="14"/>
  <c r="R10" i="14" s="1"/>
  <c r="K21" i="14"/>
  <c r="B48" i="14"/>
  <c r="K15" i="14"/>
  <c r="C7" i="14"/>
  <c r="K20" i="14"/>
  <c r="H51" i="14"/>
  <c r="F61" i="14"/>
  <c r="K7" i="14"/>
  <c r="H65" i="14"/>
  <c r="G8" i="13"/>
  <c r="G39" i="13"/>
  <c r="G13" i="13"/>
  <c r="G33" i="13" s="1"/>
  <c r="G15" i="13"/>
  <c r="G14" i="13"/>
  <c r="H14" i="13" s="1"/>
  <c r="G12" i="13"/>
  <c r="G17" i="13"/>
  <c r="G16" i="13"/>
  <c r="G56" i="13"/>
  <c r="H56" i="13" s="1"/>
  <c r="K14" i="13" s="1"/>
  <c r="G24" i="13"/>
  <c r="G44" i="13"/>
  <c r="H44" i="13" s="1"/>
  <c r="C44" i="13" s="1"/>
  <c r="G43" i="13"/>
  <c r="G59" i="13"/>
  <c r="H59" i="13" s="1"/>
  <c r="O58" i="13"/>
  <c r="K88" i="13"/>
  <c r="K83" i="13"/>
  <c r="K34" i="13" s="1"/>
  <c r="G80" i="13"/>
  <c r="B80" i="13"/>
  <c r="K76" i="13"/>
  <c r="B72" i="13"/>
  <c r="H70" i="13"/>
  <c r="H71" i="13" s="1"/>
  <c r="H72" i="13" s="1"/>
  <c r="K19" i="13" s="1"/>
  <c r="G70" i="13"/>
  <c r="G71" i="13" s="1"/>
  <c r="G72" i="13" s="1"/>
  <c r="K38" i="13" s="1"/>
  <c r="F70" i="13"/>
  <c r="F71" i="13" s="1"/>
  <c r="F72" i="13" s="1"/>
  <c r="K48" i="13" s="1"/>
  <c r="B67" i="13"/>
  <c r="G66" i="13"/>
  <c r="H66" i="13" s="1"/>
  <c r="F66" i="13"/>
  <c r="F67" i="13" s="1"/>
  <c r="K47" i="13" s="1"/>
  <c r="D65" i="13"/>
  <c r="G61" i="13"/>
  <c r="F61" i="13"/>
  <c r="B61" i="13"/>
  <c r="G60" i="13"/>
  <c r="F60" i="13"/>
  <c r="B60" i="13"/>
  <c r="H60" i="13" s="1"/>
  <c r="K52" i="13"/>
  <c r="B58" i="13"/>
  <c r="H58" i="13" s="1"/>
  <c r="H57" i="13"/>
  <c r="W56" i="13"/>
  <c r="U56" i="13"/>
  <c r="S56" i="13"/>
  <c r="K55" i="13"/>
  <c r="K53" i="13"/>
  <c r="G53" i="13"/>
  <c r="F53" i="13"/>
  <c r="B53" i="13"/>
  <c r="G52" i="13"/>
  <c r="F52" i="13"/>
  <c r="F62" i="13" s="1"/>
  <c r="B52" i="13"/>
  <c r="K51" i="13"/>
  <c r="K50" i="13"/>
  <c r="K49" i="13"/>
  <c r="F48" i="13"/>
  <c r="B48" i="13"/>
  <c r="H47" i="13"/>
  <c r="C47" i="13" s="1"/>
  <c r="K46" i="13"/>
  <c r="H46" i="13"/>
  <c r="C46" i="13"/>
  <c r="H45" i="13"/>
  <c r="C45" i="13" s="1"/>
  <c r="K44" i="13"/>
  <c r="K43" i="13"/>
  <c r="H43" i="13"/>
  <c r="C43" i="13" s="1"/>
  <c r="B41" i="13"/>
  <c r="G41" i="13" s="1"/>
  <c r="B40" i="13"/>
  <c r="K39" i="13"/>
  <c r="B39" i="13"/>
  <c r="B38" i="13"/>
  <c r="G38" i="13" s="1"/>
  <c r="K36" i="13"/>
  <c r="K35" i="13"/>
  <c r="F33" i="13"/>
  <c r="B33" i="13"/>
  <c r="K32" i="13"/>
  <c r="H32" i="13"/>
  <c r="C32" i="13"/>
  <c r="H31" i="13"/>
  <c r="K20" i="13" s="1"/>
  <c r="K30" i="13"/>
  <c r="H30" i="13"/>
  <c r="H29" i="13"/>
  <c r="K28" i="13"/>
  <c r="H28" i="13"/>
  <c r="K27" i="13"/>
  <c r="H27" i="13"/>
  <c r="K26" i="13"/>
  <c r="H26" i="13"/>
  <c r="H25" i="13"/>
  <c r="H24" i="13"/>
  <c r="H23" i="13"/>
  <c r="H22" i="13"/>
  <c r="K21" i="13"/>
  <c r="H21" i="13"/>
  <c r="H20" i="13"/>
  <c r="H19" i="13"/>
  <c r="H18" i="13"/>
  <c r="H17" i="13"/>
  <c r="K16" i="13" s="1"/>
  <c r="H16" i="13"/>
  <c r="V15" i="13"/>
  <c r="U15" i="13"/>
  <c r="T15" i="13"/>
  <c r="S15" i="13"/>
  <c r="R15" i="13"/>
  <c r="Q15" i="13"/>
  <c r="P15" i="13"/>
  <c r="H15" i="13"/>
  <c r="V13" i="13"/>
  <c r="U13" i="13"/>
  <c r="T13" i="13"/>
  <c r="S13" i="13"/>
  <c r="R13" i="13"/>
  <c r="Q13" i="13"/>
  <c r="P13" i="13"/>
  <c r="H12" i="13"/>
  <c r="V11" i="13"/>
  <c r="V16" i="13" s="1"/>
  <c r="U11" i="13"/>
  <c r="T11" i="13"/>
  <c r="S11" i="13"/>
  <c r="S16" i="13" s="1"/>
  <c r="R11" i="13"/>
  <c r="R16" i="13" s="1"/>
  <c r="Q11" i="13"/>
  <c r="P11" i="13"/>
  <c r="K11" i="13"/>
  <c r="H11" i="13"/>
  <c r="K15" i="13" s="1"/>
  <c r="H10" i="13"/>
  <c r="H9" i="13"/>
  <c r="K9" i="13" s="1"/>
  <c r="X8" i="13"/>
  <c r="W8" i="13"/>
  <c r="X6" i="13" s="1"/>
  <c r="P8" i="13"/>
  <c r="H8" i="13"/>
  <c r="K8" i="13" s="1"/>
  <c r="X7" i="13"/>
  <c r="W7" i="13"/>
  <c r="P7" i="13"/>
  <c r="H7" i="13"/>
  <c r="W6" i="13"/>
  <c r="V6" i="13"/>
  <c r="U6" i="13"/>
  <c r="T6" i="13"/>
  <c r="S6" i="13"/>
  <c r="R6" i="13"/>
  <c r="Q6" i="13"/>
  <c r="K40" i="14" l="1"/>
  <c r="Q16" i="13"/>
  <c r="U16" i="13"/>
  <c r="W13" i="13"/>
  <c r="X15" i="13"/>
  <c r="B82" i="13"/>
  <c r="B83" i="13" s="1"/>
  <c r="K12" i="14"/>
  <c r="R12" i="14" s="1"/>
  <c r="X13" i="13"/>
  <c r="W15" i="13"/>
  <c r="H53" i="13"/>
  <c r="H39" i="13"/>
  <c r="H61" i="13"/>
  <c r="K29" i="13"/>
  <c r="G40" i="13"/>
  <c r="H40" i="13" s="1"/>
  <c r="C40" i="13" s="1"/>
  <c r="B84" i="16"/>
  <c r="K58" i="16"/>
  <c r="B83" i="15"/>
  <c r="R23" i="15"/>
  <c r="R48" i="15"/>
  <c r="R56" i="15" s="1"/>
  <c r="K56" i="15"/>
  <c r="K58" i="15" s="1"/>
  <c r="O58" i="15" s="1"/>
  <c r="R56" i="14"/>
  <c r="R40" i="14"/>
  <c r="C47" i="14"/>
  <c r="C37" i="14"/>
  <c r="R7" i="14"/>
  <c r="R23" i="14" s="1"/>
  <c r="K56" i="14"/>
  <c r="B74" i="14"/>
  <c r="C82" i="14" s="1"/>
  <c r="H41" i="13"/>
  <c r="H13" i="13"/>
  <c r="H33" i="13" s="1"/>
  <c r="C33" i="13" s="1"/>
  <c r="G62" i="13"/>
  <c r="B49" i="13"/>
  <c r="H81" i="13"/>
  <c r="K10" i="13"/>
  <c r="H52" i="13"/>
  <c r="K17" i="13"/>
  <c r="C41" i="13"/>
  <c r="H38" i="13"/>
  <c r="C39" i="13"/>
  <c r="K7" i="13"/>
  <c r="K56" i="13"/>
  <c r="W11" i="13"/>
  <c r="T16" i="13"/>
  <c r="K31" i="13"/>
  <c r="G67" i="13"/>
  <c r="K37" i="13" s="1"/>
  <c r="X11" i="13"/>
  <c r="X16" i="13" s="1"/>
  <c r="B54" i="13"/>
  <c r="B62" i="13" s="1"/>
  <c r="H12" i="12"/>
  <c r="O58" i="12"/>
  <c r="K88" i="12"/>
  <c r="K49" i="12" s="1"/>
  <c r="K83" i="12"/>
  <c r="G80" i="12"/>
  <c r="B80" i="12"/>
  <c r="K76" i="12"/>
  <c r="B72" i="12"/>
  <c r="G71" i="12"/>
  <c r="G72" i="12" s="1"/>
  <c r="K38" i="12" s="1"/>
  <c r="H70" i="12"/>
  <c r="H71" i="12" s="1"/>
  <c r="H72" i="12" s="1"/>
  <c r="K19" i="12" s="1"/>
  <c r="G70" i="12"/>
  <c r="F70" i="12"/>
  <c r="F71" i="12" s="1"/>
  <c r="F72" i="12" s="1"/>
  <c r="K48" i="12" s="1"/>
  <c r="B67" i="12"/>
  <c r="B82" i="12" s="1"/>
  <c r="B83" i="12" s="1"/>
  <c r="G66" i="12"/>
  <c r="F66" i="12"/>
  <c r="F67" i="12" s="1"/>
  <c r="K47" i="12" s="1"/>
  <c r="D65" i="12"/>
  <c r="G61" i="12"/>
  <c r="F61" i="12"/>
  <c r="B61" i="12"/>
  <c r="G60" i="12"/>
  <c r="F60" i="12"/>
  <c r="B60" i="12"/>
  <c r="B58" i="12"/>
  <c r="H58" i="12" s="1"/>
  <c r="H57" i="12"/>
  <c r="W56" i="12"/>
  <c r="U56" i="12"/>
  <c r="S56" i="12"/>
  <c r="H56" i="12"/>
  <c r="K14" i="12" s="1"/>
  <c r="K55" i="12"/>
  <c r="K53" i="12"/>
  <c r="G53" i="12"/>
  <c r="F53" i="12"/>
  <c r="B53" i="12"/>
  <c r="G52" i="12"/>
  <c r="G62" i="12" s="1"/>
  <c r="F52" i="12"/>
  <c r="F62" i="12" s="1"/>
  <c r="B52" i="12"/>
  <c r="K51" i="12"/>
  <c r="K50" i="12"/>
  <c r="G48" i="12"/>
  <c r="F48" i="12"/>
  <c r="B48" i="12"/>
  <c r="H47" i="12"/>
  <c r="C47" i="12"/>
  <c r="K46" i="12"/>
  <c r="H46" i="12"/>
  <c r="C46" i="12" s="1"/>
  <c r="H45" i="12"/>
  <c r="C45" i="12" s="1"/>
  <c r="K44" i="12"/>
  <c r="H44" i="12"/>
  <c r="C44" i="12" s="1"/>
  <c r="K43" i="12"/>
  <c r="H43" i="12"/>
  <c r="C43" i="12" s="1"/>
  <c r="B41" i="12"/>
  <c r="H41" i="12" s="1"/>
  <c r="B40" i="12"/>
  <c r="H40" i="12" s="1"/>
  <c r="K39" i="12"/>
  <c r="B39" i="12"/>
  <c r="B38" i="12"/>
  <c r="H38" i="12" s="1"/>
  <c r="K36" i="12"/>
  <c r="K35" i="12"/>
  <c r="K34" i="12"/>
  <c r="G33" i="12"/>
  <c r="F33" i="12"/>
  <c r="K32" i="12"/>
  <c r="H32" i="12"/>
  <c r="C32" i="12"/>
  <c r="H31" i="12"/>
  <c r="K20" i="12" s="1"/>
  <c r="K30" i="12"/>
  <c r="H30" i="12"/>
  <c r="K29" i="12"/>
  <c r="H29" i="12"/>
  <c r="K28" i="12"/>
  <c r="H28" i="12"/>
  <c r="K27" i="12"/>
  <c r="H27" i="12"/>
  <c r="K26" i="12"/>
  <c r="H26" i="12"/>
  <c r="H25" i="12"/>
  <c r="H24" i="12"/>
  <c r="H23" i="12"/>
  <c r="H22" i="12"/>
  <c r="K21" i="12"/>
  <c r="H21" i="12"/>
  <c r="H20" i="12"/>
  <c r="H19" i="12"/>
  <c r="H18" i="12"/>
  <c r="K17" i="12" s="1"/>
  <c r="H17" i="12"/>
  <c r="K16" i="12" s="1"/>
  <c r="R16" i="12"/>
  <c r="H16" i="12"/>
  <c r="V15" i="12"/>
  <c r="U15" i="12"/>
  <c r="T15" i="12"/>
  <c r="T16" i="12" s="1"/>
  <c r="S15" i="12"/>
  <c r="R15" i="12"/>
  <c r="Q15" i="12"/>
  <c r="P15" i="12"/>
  <c r="H15" i="12"/>
  <c r="H14" i="12"/>
  <c r="V13" i="12"/>
  <c r="U13" i="12"/>
  <c r="T13" i="12"/>
  <c r="S13" i="12"/>
  <c r="R13" i="12"/>
  <c r="Q13" i="12"/>
  <c r="P13" i="12"/>
  <c r="H13" i="12"/>
  <c r="V11" i="12"/>
  <c r="U11" i="12"/>
  <c r="U16" i="12" s="1"/>
  <c r="T11" i="12"/>
  <c r="S11" i="12"/>
  <c r="S16" i="12" s="1"/>
  <c r="R11" i="12"/>
  <c r="Q11" i="12"/>
  <c r="Q16" i="12" s="1"/>
  <c r="P11" i="12"/>
  <c r="H11" i="12"/>
  <c r="H10" i="12"/>
  <c r="K11" i="12" s="1"/>
  <c r="H9" i="12"/>
  <c r="K9" i="12" s="1"/>
  <c r="X8" i="12"/>
  <c r="W8" i="12"/>
  <c r="P8" i="12"/>
  <c r="H8" i="12"/>
  <c r="K8" i="12" s="1"/>
  <c r="X7" i="12"/>
  <c r="W7" i="12"/>
  <c r="W6" i="12" s="1"/>
  <c r="P7" i="12"/>
  <c r="H7" i="12"/>
  <c r="V6" i="12"/>
  <c r="U6" i="12"/>
  <c r="T6" i="12"/>
  <c r="S6" i="12"/>
  <c r="R6" i="12"/>
  <c r="Q6" i="12"/>
  <c r="K66" i="11"/>
  <c r="K65" i="11"/>
  <c r="W13" i="12" l="1"/>
  <c r="H61" i="12"/>
  <c r="G48" i="13"/>
  <c r="K15" i="12"/>
  <c r="X11" i="12"/>
  <c r="X13" i="12"/>
  <c r="X16" i="12" s="1"/>
  <c r="W15" i="12"/>
  <c r="V16" i="12"/>
  <c r="H66" i="12"/>
  <c r="W16" i="13"/>
  <c r="K23" i="14"/>
  <c r="B54" i="12"/>
  <c r="B62" i="12" s="1"/>
  <c r="H67" i="13"/>
  <c r="K18" i="13" s="1"/>
  <c r="K40" i="13"/>
  <c r="H48" i="13"/>
  <c r="C48" i="13" s="1"/>
  <c r="Y58" i="16"/>
  <c r="Q56" i="16"/>
  <c r="K58" i="14"/>
  <c r="O58" i="14" s="1"/>
  <c r="B83" i="14"/>
  <c r="H62" i="13"/>
  <c r="C38" i="13"/>
  <c r="K12" i="13"/>
  <c r="K23" i="13" s="1"/>
  <c r="B75" i="13"/>
  <c r="H81" i="12"/>
  <c r="K10" i="12"/>
  <c r="C40" i="12"/>
  <c r="H39" i="12"/>
  <c r="H48" i="12" s="1"/>
  <c r="C41" i="12"/>
  <c r="H52" i="12"/>
  <c r="C38" i="12"/>
  <c r="H62" i="12"/>
  <c r="H53" i="12"/>
  <c r="H60" i="12"/>
  <c r="K7" i="12"/>
  <c r="H33" i="12"/>
  <c r="X6" i="12"/>
  <c r="B33" i="12"/>
  <c r="B49" i="12"/>
  <c r="F59" i="12"/>
  <c r="X15" i="12"/>
  <c r="W11" i="12"/>
  <c r="W16" i="12" s="1"/>
  <c r="G59" i="12"/>
  <c r="K31" i="12" s="1"/>
  <c r="K40" i="12" s="1"/>
  <c r="G67" i="12"/>
  <c r="K37" i="12" s="1"/>
  <c r="B70" i="11"/>
  <c r="B57" i="11"/>
  <c r="H57" i="11" s="1"/>
  <c r="N58" i="11"/>
  <c r="K90" i="11"/>
  <c r="K84" i="11"/>
  <c r="K34" i="11" s="1"/>
  <c r="G79" i="11"/>
  <c r="G81" i="11" s="1"/>
  <c r="B79" i="11"/>
  <c r="G77" i="11"/>
  <c r="B71" i="11"/>
  <c r="H69" i="11"/>
  <c r="G69" i="11"/>
  <c r="F69" i="11"/>
  <c r="B66" i="11"/>
  <c r="G65" i="11"/>
  <c r="G66" i="11" s="1"/>
  <c r="K37" i="11" s="1"/>
  <c r="F65" i="11"/>
  <c r="H65" i="11" s="1"/>
  <c r="K74" i="11"/>
  <c r="D64" i="11"/>
  <c r="G60" i="11"/>
  <c r="F60" i="11"/>
  <c r="B60" i="11"/>
  <c r="M59" i="11"/>
  <c r="L59" i="11"/>
  <c r="G59" i="11"/>
  <c r="F59" i="11"/>
  <c r="B59" i="11"/>
  <c r="G58" i="11"/>
  <c r="F58" i="11"/>
  <c r="H56" i="11"/>
  <c r="K55" i="11"/>
  <c r="H55" i="11"/>
  <c r="K13" i="11" s="1"/>
  <c r="R13" i="11" s="1"/>
  <c r="K54" i="11"/>
  <c r="K53" i="11"/>
  <c r="R53" i="11" s="1"/>
  <c r="G52" i="11"/>
  <c r="F52" i="11"/>
  <c r="B52" i="11"/>
  <c r="H52" i="11" s="1"/>
  <c r="K51" i="11"/>
  <c r="G51" i="11"/>
  <c r="K31" i="11" s="1"/>
  <c r="R31" i="11" s="1"/>
  <c r="F51" i="11"/>
  <c r="B51" i="11"/>
  <c r="B53" i="11" s="1"/>
  <c r="K50" i="11"/>
  <c r="R50" i="11" s="1"/>
  <c r="G47" i="11"/>
  <c r="F47" i="11"/>
  <c r="B47" i="11"/>
  <c r="K46" i="11"/>
  <c r="H46" i="11"/>
  <c r="C46" i="11" s="1"/>
  <c r="K45" i="11"/>
  <c r="H45" i="11"/>
  <c r="C45" i="11" s="1"/>
  <c r="K44" i="11"/>
  <c r="H44" i="11"/>
  <c r="C44" i="11" s="1"/>
  <c r="K43" i="11"/>
  <c r="R43" i="11" s="1"/>
  <c r="H43" i="11"/>
  <c r="C43" i="11" s="1"/>
  <c r="H42" i="11"/>
  <c r="C42" i="11" s="1"/>
  <c r="B40" i="11"/>
  <c r="H40" i="11" s="1"/>
  <c r="K39" i="11"/>
  <c r="B39" i="11"/>
  <c r="H39" i="11" s="1"/>
  <c r="B38" i="11"/>
  <c r="H38" i="11" s="1"/>
  <c r="B37" i="11"/>
  <c r="K36" i="11"/>
  <c r="R36" i="11" s="1"/>
  <c r="K35" i="11"/>
  <c r="R35" i="11" s="1"/>
  <c r="K33" i="11"/>
  <c r="K32" i="11"/>
  <c r="R32" i="11" s="1"/>
  <c r="B32" i="11"/>
  <c r="H31" i="11"/>
  <c r="C31" i="11" s="1"/>
  <c r="H30" i="11"/>
  <c r="C30" i="11"/>
  <c r="K29" i="11"/>
  <c r="R29" i="11" s="1"/>
  <c r="H29" i="11"/>
  <c r="C29" i="11" s="1"/>
  <c r="K28" i="11"/>
  <c r="H28" i="11"/>
  <c r="C28" i="11" s="1"/>
  <c r="K27" i="11"/>
  <c r="H27" i="11"/>
  <c r="C27" i="11" s="1"/>
  <c r="K26" i="11"/>
  <c r="R26" i="11" s="1"/>
  <c r="H26" i="11"/>
  <c r="C26" i="11" s="1"/>
  <c r="H25" i="11"/>
  <c r="C25" i="11" s="1"/>
  <c r="H24" i="11"/>
  <c r="C24" i="11" s="1"/>
  <c r="H23" i="11"/>
  <c r="C23" i="11" s="1"/>
  <c r="H22" i="11"/>
  <c r="C22" i="11" s="1"/>
  <c r="K21" i="11"/>
  <c r="H21" i="11"/>
  <c r="C21" i="11" s="1"/>
  <c r="K20" i="11"/>
  <c r="H20" i="11"/>
  <c r="C20" i="11" s="1"/>
  <c r="H19" i="11"/>
  <c r="C19" i="11" s="1"/>
  <c r="H18" i="11"/>
  <c r="C18" i="11" s="1"/>
  <c r="H17" i="11"/>
  <c r="C17" i="11" s="1"/>
  <c r="H16" i="11"/>
  <c r="K16" i="11" s="1"/>
  <c r="R16" i="11" s="1"/>
  <c r="H15" i="11"/>
  <c r="C15" i="11" s="1"/>
  <c r="H14" i="11"/>
  <c r="C14" i="11" s="1"/>
  <c r="H13" i="11"/>
  <c r="C13" i="11" s="1"/>
  <c r="H12" i="11"/>
  <c r="C12" i="11" s="1"/>
  <c r="H11" i="11"/>
  <c r="C11" i="11" s="1"/>
  <c r="H9" i="11"/>
  <c r="K9" i="11" s="1"/>
  <c r="H8" i="11"/>
  <c r="K8" i="11" s="1"/>
  <c r="H7" i="11"/>
  <c r="K58" i="13" l="1"/>
  <c r="Q56" i="13" s="1"/>
  <c r="Y58" i="13"/>
  <c r="C83" i="13"/>
  <c r="B84" i="13"/>
  <c r="C33" i="12"/>
  <c r="C48" i="12"/>
  <c r="C39" i="12"/>
  <c r="H59" i="12"/>
  <c r="K12" i="12" s="1"/>
  <c r="K23" i="12" s="1"/>
  <c r="K52" i="12"/>
  <c r="K56" i="12" s="1"/>
  <c r="H67" i="12"/>
  <c r="K18" i="12" s="1"/>
  <c r="B75" i="12"/>
  <c r="H59" i="11"/>
  <c r="G70" i="11"/>
  <c r="G71" i="11" s="1"/>
  <c r="F70" i="11"/>
  <c r="K48" i="11" s="1"/>
  <c r="R48" i="11" s="1"/>
  <c r="B61" i="11"/>
  <c r="H58" i="11"/>
  <c r="K52" i="11"/>
  <c r="R52" i="11" s="1"/>
  <c r="F61" i="11"/>
  <c r="H60" i="11"/>
  <c r="K10" i="11"/>
  <c r="R10" i="11" s="1"/>
  <c r="C16" i="11"/>
  <c r="K92" i="11"/>
  <c r="K93" i="11" s="1"/>
  <c r="K38" i="11"/>
  <c r="R38" i="11" s="1"/>
  <c r="R40" i="11" s="1"/>
  <c r="K49" i="11"/>
  <c r="H10" i="11"/>
  <c r="K15" i="11" s="1"/>
  <c r="F32" i="11"/>
  <c r="C38" i="11"/>
  <c r="R46" i="11"/>
  <c r="H51" i="11"/>
  <c r="G61" i="11"/>
  <c r="F66" i="11"/>
  <c r="K47" i="11" s="1"/>
  <c r="H80" i="11"/>
  <c r="K17" i="11"/>
  <c r="R17" i="11" s="1"/>
  <c r="G32" i="11"/>
  <c r="H37" i="11"/>
  <c r="H47" i="11" s="1"/>
  <c r="C39" i="11"/>
  <c r="C40" i="11"/>
  <c r="H70" i="11"/>
  <c r="B81" i="11"/>
  <c r="B82" i="11" s="1"/>
  <c r="B48" i="11"/>
  <c r="K7" i="11"/>
  <c r="C7" i="11"/>
  <c r="K87" i="10"/>
  <c r="K77" i="10"/>
  <c r="K64" i="10"/>
  <c r="B32" i="10"/>
  <c r="K58" i="12" l="1"/>
  <c r="Y58" i="12" s="1"/>
  <c r="Q56" i="12"/>
  <c r="C83" i="12"/>
  <c r="B84" i="12"/>
  <c r="K12" i="11"/>
  <c r="R12" i="11" s="1"/>
  <c r="F71" i="11"/>
  <c r="R56" i="11"/>
  <c r="K56" i="11"/>
  <c r="H61" i="11"/>
  <c r="C47" i="11"/>
  <c r="C37" i="11"/>
  <c r="K40" i="11"/>
  <c r="B74" i="11"/>
  <c r="C82" i="11" s="1"/>
  <c r="C10" i="11"/>
  <c r="H32" i="11"/>
  <c r="C32" i="11" s="1"/>
  <c r="H66" i="11"/>
  <c r="K18" i="11" s="1"/>
  <c r="K19" i="11"/>
  <c r="R19" i="11" s="1"/>
  <c r="H71" i="11"/>
  <c r="R7" i="11"/>
  <c r="B70" i="10"/>
  <c r="H70" i="10" s="1"/>
  <c r="N58" i="10"/>
  <c r="K90" i="10"/>
  <c r="F10" i="10" s="1"/>
  <c r="K84" i="10"/>
  <c r="G10" i="10" s="1"/>
  <c r="B79" i="10"/>
  <c r="G77" i="10"/>
  <c r="G79" i="10" s="1"/>
  <c r="G81" i="10" s="1"/>
  <c r="H69" i="10"/>
  <c r="G69" i="10"/>
  <c r="F69" i="10"/>
  <c r="B66" i="10"/>
  <c r="G65" i="10"/>
  <c r="G66" i="10" s="1"/>
  <c r="F65" i="10"/>
  <c r="F66" i="10" s="1"/>
  <c r="K47" i="10" s="1"/>
  <c r="K74" i="10"/>
  <c r="D64" i="10"/>
  <c r="G60" i="10"/>
  <c r="F60" i="10"/>
  <c r="B60" i="10"/>
  <c r="M59" i="10"/>
  <c r="L59" i="10"/>
  <c r="G59" i="10"/>
  <c r="F59" i="10"/>
  <c r="B59" i="10"/>
  <c r="G58" i="10"/>
  <c r="F58" i="10"/>
  <c r="H57" i="10"/>
  <c r="H56" i="10"/>
  <c r="K55" i="10"/>
  <c r="H55" i="10"/>
  <c r="K13" i="10" s="1"/>
  <c r="R13" i="10" s="1"/>
  <c r="K54" i="10"/>
  <c r="K53" i="10"/>
  <c r="R53" i="10" s="1"/>
  <c r="G52" i="10"/>
  <c r="F52" i="10"/>
  <c r="B52" i="10"/>
  <c r="K51" i="10"/>
  <c r="G51" i="10"/>
  <c r="G61" i="10" s="1"/>
  <c r="F51" i="10"/>
  <c r="F61" i="10" s="1"/>
  <c r="B51" i="10"/>
  <c r="B53" i="10" s="1"/>
  <c r="K50" i="10"/>
  <c r="R50" i="10" s="1"/>
  <c r="G47" i="10"/>
  <c r="F47" i="10"/>
  <c r="B47" i="10"/>
  <c r="K46" i="10"/>
  <c r="H46" i="10"/>
  <c r="C46" i="10" s="1"/>
  <c r="K45" i="10"/>
  <c r="H45" i="10"/>
  <c r="C45" i="10" s="1"/>
  <c r="K44" i="10"/>
  <c r="H44" i="10"/>
  <c r="C44" i="10" s="1"/>
  <c r="K43" i="10"/>
  <c r="R43" i="10" s="1"/>
  <c r="H43" i="10"/>
  <c r="C43" i="10"/>
  <c r="H42" i="10"/>
  <c r="C42" i="10" s="1"/>
  <c r="B40" i="10"/>
  <c r="H40" i="10" s="1"/>
  <c r="C40" i="10" s="1"/>
  <c r="K39" i="10"/>
  <c r="H39" i="10"/>
  <c r="C39" i="10" s="1"/>
  <c r="B39" i="10"/>
  <c r="B38" i="10"/>
  <c r="H38" i="10" s="1"/>
  <c r="B37" i="10"/>
  <c r="H37" i="10" s="1"/>
  <c r="K36" i="10"/>
  <c r="R36" i="10" s="1"/>
  <c r="K35" i="10"/>
  <c r="R35" i="10" s="1"/>
  <c r="K33" i="10"/>
  <c r="K32" i="10"/>
  <c r="R32" i="10" s="1"/>
  <c r="H31" i="10"/>
  <c r="C31" i="10" s="1"/>
  <c r="H30" i="10"/>
  <c r="C30" i="10" s="1"/>
  <c r="K29" i="10"/>
  <c r="R29" i="10" s="1"/>
  <c r="H29" i="10"/>
  <c r="C29" i="10" s="1"/>
  <c r="K28" i="10"/>
  <c r="H28" i="10"/>
  <c r="C28" i="10" s="1"/>
  <c r="K27" i="10"/>
  <c r="H27" i="10"/>
  <c r="C27" i="10" s="1"/>
  <c r="K26" i="10"/>
  <c r="R26" i="10" s="1"/>
  <c r="H26" i="10"/>
  <c r="C26" i="10" s="1"/>
  <c r="H25" i="10"/>
  <c r="C25" i="10" s="1"/>
  <c r="H24" i="10"/>
  <c r="C24" i="10" s="1"/>
  <c r="H23" i="10"/>
  <c r="C23" i="10" s="1"/>
  <c r="H22" i="10"/>
  <c r="C22" i="10" s="1"/>
  <c r="H21" i="10"/>
  <c r="C21" i="10" s="1"/>
  <c r="H20" i="10"/>
  <c r="H19" i="10"/>
  <c r="C19" i="10" s="1"/>
  <c r="H18" i="10"/>
  <c r="C18" i="10" s="1"/>
  <c r="H17" i="10"/>
  <c r="C17" i="10"/>
  <c r="H16" i="10"/>
  <c r="K16" i="10" s="1"/>
  <c r="R16" i="10" s="1"/>
  <c r="H15" i="10"/>
  <c r="C15" i="10" s="1"/>
  <c r="H14" i="10"/>
  <c r="C14" i="10" s="1"/>
  <c r="H13" i="10"/>
  <c r="C13" i="10" s="1"/>
  <c r="H12" i="10"/>
  <c r="C12" i="10" s="1"/>
  <c r="H11" i="10"/>
  <c r="C11" i="10" s="1"/>
  <c r="H9" i="10"/>
  <c r="K9" i="10" s="1"/>
  <c r="H8" i="10"/>
  <c r="K8" i="10" s="1"/>
  <c r="H7" i="10"/>
  <c r="K7" i="10" s="1"/>
  <c r="C7" i="10"/>
  <c r="H65" i="10" l="1"/>
  <c r="H60" i="10"/>
  <c r="K21" i="10"/>
  <c r="B83" i="11"/>
  <c r="K23" i="11"/>
  <c r="K58" i="11" s="1"/>
  <c r="O58" i="11" s="1"/>
  <c r="R23" i="11"/>
  <c r="H80" i="10"/>
  <c r="C16" i="10"/>
  <c r="B61" i="10"/>
  <c r="H61" i="10" s="1"/>
  <c r="K92" i="10"/>
  <c r="K93" i="10" s="1"/>
  <c r="H59" i="10"/>
  <c r="K17" i="10"/>
  <c r="R17" i="10" s="1"/>
  <c r="H52" i="10"/>
  <c r="C20" i="10"/>
  <c r="H58" i="10"/>
  <c r="H47" i="10"/>
  <c r="K10" i="10"/>
  <c r="R10" i="10" s="1"/>
  <c r="H71" i="10"/>
  <c r="K19" i="10"/>
  <c r="R19" i="10" s="1"/>
  <c r="H66" i="10"/>
  <c r="K18" i="10" s="1"/>
  <c r="K37" i="10"/>
  <c r="G32" i="10"/>
  <c r="K34" i="10"/>
  <c r="R7" i="10"/>
  <c r="H10" i="10"/>
  <c r="K15" i="10" s="1"/>
  <c r="F32" i="10"/>
  <c r="K49" i="10"/>
  <c r="K52" i="10"/>
  <c r="R52" i="10" s="1"/>
  <c r="F70" i="10"/>
  <c r="K20" i="10"/>
  <c r="K31" i="10"/>
  <c r="R31" i="10" s="1"/>
  <c r="C37" i="10"/>
  <c r="C38" i="10"/>
  <c r="R46" i="10"/>
  <c r="H51" i="10"/>
  <c r="G70" i="10"/>
  <c r="B71" i="10"/>
  <c r="B81" i="10" s="1"/>
  <c r="B48" i="10"/>
  <c r="B7" i="9"/>
  <c r="H32" i="10" l="1"/>
  <c r="C32" i="10" s="1"/>
  <c r="C10" i="10"/>
  <c r="K12" i="10"/>
  <c r="R12" i="10" s="1"/>
  <c r="R23" i="10" s="1"/>
  <c r="C47" i="10"/>
  <c r="B74" i="10"/>
  <c r="K48" i="10"/>
  <c r="F71" i="10"/>
  <c r="B82" i="10"/>
  <c r="K38" i="10"/>
  <c r="R38" i="10" s="1"/>
  <c r="R40" i="10" s="1"/>
  <c r="G71" i="10"/>
  <c r="O58" i="9"/>
  <c r="K23" i="10" l="1"/>
  <c r="B83" i="10"/>
  <c r="C82" i="10"/>
  <c r="K40" i="10"/>
  <c r="R48" i="10"/>
  <c r="R56" i="10" s="1"/>
  <c r="K56" i="10"/>
  <c r="K88" i="9"/>
  <c r="K49" i="9" s="1"/>
  <c r="K83" i="9"/>
  <c r="G80" i="9"/>
  <c r="B80" i="9"/>
  <c r="K76" i="9"/>
  <c r="B72" i="9"/>
  <c r="H70" i="9"/>
  <c r="H71" i="9" s="1"/>
  <c r="H72" i="9" s="1"/>
  <c r="K19" i="9" s="1"/>
  <c r="G70" i="9"/>
  <c r="G71" i="9" s="1"/>
  <c r="G72" i="9" s="1"/>
  <c r="K38" i="9" s="1"/>
  <c r="F70" i="9"/>
  <c r="F71" i="9" s="1"/>
  <c r="F72" i="9" s="1"/>
  <c r="K48" i="9" s="1"/>
  <c r="B67" i="9"/>
  <c r="G66" i="9"/>
  <c r="H66" i="9" s="1"/>
  <c r="F66" i="9"/>
  <c r="F67" i="9" s="1"/>
  <c r="K47" i="9" s="1"/>
  <c r="D65" i="9"/>
  <c r="G61" i="9"/>
  <c r="F61" i="9"/>
  <c r="B61" i="9"/>
  <c r="H61" i="9" s="1"/>
  <c r="G60" i="9"/>
  <c r="F60" i="9"/>
  <c r="B60" i="9"/>
  <c r="G59" i="9"/>
  <c r="K31" i="9" s="1"/>
  <c r="F59" i="9"/>
  <c r="B58" i="9"/>
  <c r="H58" i="9" s="1"/>
  <c r="H57" i="9"/>
  <c r="W56" i="9"/>
  <c r="U56" i="9"/>
  <c r="S56" i="9"/>
  <c r="H56" i="9"/>
  <c r="K14" i="9" s="1"/>
  <c r="K55" i="9"/>
  <c r="K53" i="9"/>
  <c r="G53" i="9"/>
  <c r="F53" i="9"/>
  <c r="B53" i="9"/>
  <c r="G52" i="9"/>
  <c r="G62" i="9" s="1"/>
  <c r="F52" i="9"/>
  <c r="F62" i="9" s="1"/>
  <c r="B52" i="9"/>
  <c r="H52" i="9" s="1"/>
  <c r="K51" i="9"/>
  <c r="K50" i="9"/>
  <c r="G48" i="9"/>
  <c r="F48" i="9"/>
  <c r="B48" i="9"/>
  <c r="H47" i="9"/>
  <c r="C47" i="9" s="1"/>
  <c r="K46" i="9"/>
  <c r="H46" i="9"/>
  <c r="C46" i="9" s="1"/>
  <c r="H45" i="9"/>
  <c r="C45" i="9" s="1"/>
  <c r="K44" i="9"/>
  <c r="H44" i="9"/>
  <c r="C44" i="9" s="1"/>
  <c r="K43" i="9"/>
  <c r="H43" i="9"/>
  <c r="C43" i="9" s="1"/>
  <c r="B41" i="9"/>
  <c r="B40" i="9"/>
  <c r="K39" i="9"/>
  <c r="B39" i="9"/>
  <c r="H39" i="9" s="1"/>
  <c r="B38" i="9"/>
  <c r="H38" i="9" s="1"/>
  <c r="K36" i="9"/>
  <c r="K35" i="9"/>
  <c r="K34" i="9"/>
  <c r="G33" i="9"/>
  <c r="F33" i="9"/>
  <c r="B33" i="9"/>
  <c r="K32" i="9"/>
  <c r="H32" i="9"/>
  <c r="C32" i="9"/>
  <c r="H31" i="9"/>
  <c r="K20" i="9" s="1"/>
  <c r="K30" i="9"/>
  <c r="H30" i="9"/>
  <c r="K29" i="9"/>
  <c r="H29" i="9"/>
  <c r="K28" i="9"/>
  <c r="H28" i="9"/>
  <c r="K17" i="9" s="1"/>
  <c r="K27" i="9"/>
  <c r="H27" i="9"/>
  <c r="K26" i="9"/>
  <c r="H26" i="9"/>
  <c r="H25" i="9"/>
  <c r="H24" i="9"/>
  <c r="H23" i="9"/>
  <c r="H22" i="9"/>
  <c r="K21" i="9"/>
  <c r="H21" i="9"/>
  <c r="H20" i="9"/>
  <c r="H19" i="9"/>
  <c r="H18" i="9"/>
  <c r="H17" i="9"/>
  <c r="K16" i="9" s="1"/>
  <c r="H16" i="9"/>
  <c r="V15" i="9"/>
  <c r="U15" i="9"/>
  <c r="T15" i="9"/>
  <c r="T16" i="9" s="1"/>
  <c r="S15" i="9"/>
  <c r="R15" i="9"/>
  <c r="Q15" i="9"/>
  <c r="P15" i="9"/>
  <c r="H15" i="9"/>
  <c r="H14" i="9"/>
  <c r="V13" i="9"/>
  <c r="U13" i="9"/>
  <c r="T13" i="9"/>
  <c r="S13" i="9"/>
  <c r="R13" i="9"/>
  <c r="Q13" i="9"/>
  <c r="P13" i="9"/>
  <c r="H13" i="9"/>
  <c r="H12" i="9"/>
  <c r="V11" i="9"/>
  <c r="V16" i="9" s="1"/>
  <c r="U11" i="9"/>
  <c r="T11" i="9"/>
  <c r="S11" i="9"/>
  <c r="R11" i="9"/>
  <c r="R16" i="9" s="1"/>
  <c r="Q11" i="9"/>
  <c r="P11" i="9"/>
  <c r="K11" i="9"/>
  <c r="H11" i="9"/>
  <c r="K15" i="9" s="1"/>
  <c r="H10" i="9"/>
  <c r="H9" i="9"/>
  <c r="K9" i="9" s="1"/>
  <c r="X8" i="9"/>
  <c r="W8" i="9"/>
  <c r="P8" i="9"/>
  <c r="H8" i="9"/>
  <c r="K8" i="9" s="1"/>
  <c r="X7" i="9"/>
  <c r="W7" i="9"/>
  <c r="P7" i="9"/>
  <c r="H7" i="9"/>
  <c r="K7" i="9" s="1"/>
  <c r="V6" i="9"/>
  <c r="U6" i="9"/>
  <c r="T6" i="9"/>
  <c r="S6" i="9"/>
  <c r="R6" i="9"/>
  <c r="Q6" i="9"/>
  <c r="W13" i="9" l="1"/>
  <c r="X6" i="9"/>
  <c r="S16" i="9"/>
  <c r="H60" i="9"/>
  <c r="X11" i="9"/>
  <c r="Q16" i="9"/>
  <c r="U16" i="9"/>
  <c r="X13" i="9"/>
  <c r="X16" i="9" s="1"/>
  <c r="W15" i="9"/>
  <c r="B82" i="9"/>
  <c r="B83" i="9" s="1"/>
  <c r="K58" i="10"/>
  <c r="O58" i="10" s="1"/>
  <c r="H81" i="9"/>
  <c r="H59" i="9"/>
  <c r="B54" i="9"/>
  <c r="B62" i="9" s="1"/>
  <c r="H62" i="9" s="1"/>
  <c r="K10" i="9"/>
  <c r="H33" i="9"/>
  <c r="C33" i="9" s="1"/>
  <c r="C38" i="9"/>
  <c r="H41" i="9"/>
  <c r="C41" i="9" s="1"/>
  <c r="K52" i="9"/>
  <c r="K56" i="9"/>
  <c r="C39" i="9"/>
  <c r="H40" i="9"/>
  <c r="C40" i="9" s="1"/>
  <c r="K12" i="9"/>
  <c r="W16" i="9"/>
  <c r="X15" i="9"/>
  <c r="W6" i="9"/>
  <c r="B49" i="9"/>
  <c r="H53" i="9"/>
  <c r="G67" i="9"/>
  <c r="K37" i="9" s="1"/>
  <c r="K40" i="9" s="1"/>
  <c r="W11" i="9"/>
  <c r="H67" i="9"/>
  <c r="K18" i="9" s="1"/>
  <c r="B58" i="8"/>
  <c r="H9" i="8"/>
  <c r="K9" i="8" s="1"/>
  <c r="H8" i="8"/>
  <c r="K8" i="8" s="1"/>
  <c r="H7" i="8"/>
  <c r="K7" i="8" s="1"/>
  <c r="O58" i="8"/>
  <c r="G33" i="8"/>
  <c r="F33" i="8"/>
  <c r="B33" i="8"/>
  <c r="K88" i="8"/>
  <c r="K49" i="8" s="1"/>
  <c r="K83" i="8"/>
  <c r="G80" i="8"/>
  <c r="B80" i="8"/>
  <c r="H81" i="8" s="1"/>
  <c r="K76" i="8"/>
  <c r="B72" i="8"/>
  <c r="H71" i="8"/>
  <c r="H72" i="8" s="1"/>
  <c r="K19" i="8" s="1"/>
  <c r="G71" i="8"/>
  <c r="G72" i="8" s="1"/>
  <c r="K38" i="8" s="1"/>
  <c r="H70" i="8"/>
  <c r="G70" i="8"/>
  <c r="F70" i="8"/>
  <c r="F71" i="8" s="1"/>
  <c r="F72" i="8" s="1"/>
  <c r="K48" i="8" s="1"/>
  <c r="B67" i="8"/>
  <c r="B82" i="8" s="1"/>
  <c r="B83" i="8" s="1"/>
  <c r="G66" i="8"/>
  <c r="F66" i="8"/>
  <c r="F67" i="8" s="1"/>
  <c r="K47" i="8" s="1"/>
  <c r="D65" i="8"/>
  <c r="G61" i="8"/>
  <c r="F61" i="8"/>
  <c r="B61" i="8"/>
  <c r="G60" i="8"/>
  <c r="F60" i="8"/>
  <c r="B60" i="8"/>
  <c r="H58" i="8"/>
  <c r="H57" i="8"/>
  <c r="W56" i="8"/>
  <c r="U56" i="8"/>
  <c r="S56" i="8"/>
  <c r="H56" i="8"/>
  <c r="K55" i="8"/>
  <c r="K53" i="8"/>
  <c r="G53" i="8"/>
  <c r="F53" i="8"/>
  <c r="B53" i="8"/>
  <c r="G52" i="8"/>
  <c r="G62" i="8" s="1"/>
  <c r="F52" i="8"/>
  <c r="H52" i="8" s="1"/>
  <c r="B52" i="8"/>
  <c r="B54" i="8" s="1"/>
  <c r="K51" i="8"/>
  <c r="K50" i="8"/>
  <c r="G48" i="8"/>
  <c r="F48" i="8"/>
  <c r="B48" i="8"/>
  <c r="H47" i="8"/>
  <c r="C47" i="8"/>
  <c r="K46" i="8"/>
  <c r="H46" i="8"/>
  <c r="C46" i="8" s="1"/>
  <c r="H45" i="8"/>
  <c r="C45" i="8" s="1"/>
  <c r="K44" i="8"/>
  <c r="H44" i="8"/>
  <c r="C44" i="8" s="1"/>
  <c r="K43" i="8"/>
  <c r="H43" i="8"/>
  <c r="C43" i="8" s="1"/>
  <c r="B41" i="8"/>
  <c r="H41" i="8" s="1"/>
  <c r="B40" i="8"/>
  <c r="H40" i="8" s="1"/>
  <c r="K39" i="8"/>
  <c r="B39" i="8"/>
  <c r="B38" i="8"/>
  <c r="K36" i="8"/>
  <c r="K35" i="8"/>
  <c r="K34" i="8"/>
  <c r="K32" i="8"/>
  <c r="H32" i="8"/>
  <c r="C32" i="8" s="1"/>
  <c r="H31" i="8"/>
  <c r="K20" i="8" s="1"/>
  <c r="K30" i="8"/>
  <c r="H30" i="8"/>
  <c r="K29" i="8"/>
  <c r="H29" i="8"/>
  <c r="K28" i="8"/>
  <c r="H28" i="8"/>
  <c r="K27" i="8"/>
  <c r="H27" i="8"/>
  <c r="K26" i="8"/>
  <c r="H26" i="8"/>
  <c r="H25" i="8"/>
  <c r="H24" i="8"/>
  <c r="H23" i="8"/>
  <c r="H22" i="8"/>
  <c r="K21" i="8"/>
  <c r="H21" i="8"/>
  <c r="H20" i="8"/>
  <c r="H19" i="8"/>
  <c r="H18" i="8"/>
  <c r="H17" i="8"/>
  <c r="K16" i="8" s="1"/>
  <c r="H16" i="8"/>
  <c r="V15" i="8"/>
  <c r="U15" i="8"/>
  <c r="T15" i="8"/>
  <c r="X15" i="8" s="1"/>
  <c r="S15" i="8"/>
  <c r="R15" i="8"/>
  <c r="Q15" i="8"/>
  <c r="P15" i="8"/>
  <c r="H15" i="8"/>
  <c r="K14" i="8"/>
  <c r="H14" i="8"/>
  <c r="V13" i="8"/>
  <c r="U13" i="8"/>
  <c r="T13" i="8"/>
  <c r="S13" i="8"/>
  <c r="R13" i="8"/>
  <c r="R16" i="8" s="1"/>
  <c r="Q13" i="8"/>
  <c r="P13" i="8"/>
  <c r="H13" i="8"/>
  <c r="H12" i="8"/>
  <c r="V11" i="8"/>
  <c r="U11" i="8"/>
  <c r="U16" i="8" s="1"/>
  <c r="T11" i="8"/>
  <c r="S11" i="8"/>
  <c r="S16" i="8" s="1"/>
  <c r="R11" i="8"/>
  <c r="Q11" i="8"/>
  <c r="Q16" i="8" s="1"/>
  <c r="P11" i="8"/>
  <c r="H11" i="8"/>
  <c r="K15" i="8" s="1"/>
  <c r="H10" i="8"/>
  <c r="K11" i="8" s="1"/>
  <c r="X8" i="8"/>
  <c r="W8" i="8"/>
  <c r="P8" i="8"/>
  <c r="X7" i="8"/>
  <c r="W7" i="8"/>
  <c r="P7" i="8"/>
  <c r="W6" i="8"/>
  <c r="V6" i="8"/>
  <c r="U6" i="8"/>
  <c r="T6" i="8"/>
  <c r="S6" i="8"/>
  <c r="R6" i="8"/>
  <c r="Q6" i="8"/>
  <c r="F62" i="8" l="1"/>
  <c r="T16" i="8"/>
  <c r="W15" i="8"/>
  <c r="K17" i="8"/>
  <c r="H61" i="8"/>
  <c r="X13" i="8"/>
  <c r="X6" i="8"/>
  <c r="V16" i="8"/>
  <c r="H60" i="8"/>
  <c r="X16" i="8"/>
  <c r="X11" i="8"/>
  <c r="W13" i="8"/>
  <c r="H66" i="8"/>
  <c r="H48" i="9"/>
  <c r="C48" i="9" s="1"/>
  <c r="K23" i="9"/>
  <c r="K58" i="9" s="1"/>
  <c r="Q56" i="9" s="1"/>
  <c r="B75" i="9"/>
  <c r="K10" i="8"/>
  <c r="B49" i="8"/>
  <c r="H38" i="8"/>
  <c r="C40" i="8"/>
  <c r="H53" i="8"/>
  <c r="H39" i="8"/>
  <c r="C39" i="8" s="1"/>
  <c r="C41" i="8"/>
  <c r="B62" i="8"/>
  <c r="H62" i="8" s="1"/>
  <c r="G59" i="8"/>
  <c r="K31" i="8" s="1"/>
  <c r="F59" i="8"/>
  <c r="W11" i="8"/>
  <c r="G67" i="8"/>
  <c r="K37" i="8" s="1"/>
  <c r="H33" i="8"/>
  <c r="C33" i="8" s="1"/>
  <c r="W16" i="8" l="1"/>
  <c r="K40" i="8"/>
  <c r="Y58" i="9"/>
  <c r="C83" i="9"/>
  <c r="B84" i="9"/>
  <c r="H48" i="8"/>
  <c r="C48" i="8" s="1"/>
  <c r="C38" i="8"/>
  <c r="B75" i="8"/>
  <c r="C83" i="8" s="1"/>
  <c r="H67" i="8"/>
  <c r="K18" i="8" s="1"/>
  <c r="H59" i="8"/>
  <c r="K12" i="8" s="1"/>
  <c r="K23" i="8" s="1"/>
  <c r="K52" i="8"/>
  <c r="K56" i="8" s="1"/>
  <c r="K58" i="8" l="1"/>
  <c r="Y58" i="8" s="1"/>
  <c r="B84" i="8"/>
  <c r="Q56" i="8" l="1"/>
  <c r="K88" i="7" l="1"/>
  <c r="K77" i="7"/>
  <c r="K64" i="7"/>
  <c r="B47" i="7"/>
  <c r="B70" i="7"/>
  <c r="B32" i="7"/>
  <c r="H20" i="7"/>
  <c r="N58" i="7" l="1"/>
  <c r="K90" i="7"/>
  <c r="K84" i="7"/>
  <c r="B79" i="7"/>
  <c r="G77" i="7"/>
  <c r="G79" i="7" s="1"/>
  <c r="K74" i="7"/>
  <c r="H69" i="7"/>
  <c r="G69" i="7"/>
  <c r="G70" i="7" s="1"/>
  <c r="F69" i="7"/>
  <c r="B66" i="7"/>
  <c r="G65" i="7"/>
  <c r="G66" i="7" s="1"/>
  <c r="F65" i="7"/>
  <c r="F66" i="7" s="1"/>
  <c r="K47" i="7" s="1"/>
  <c r="D64" i="7"/>
  <c r="G60" i="7"/>
  <c r="F60" i="7"/>
  <c r="B60" i="7"/>
  <c r="M59" i="7"/>
  <c r="L59" i="7"/>
  <c r="G59" i="7"/>
  <c r="F59" i="7"/>
  <c r="B59" i="7"/>
  <c r="G58" i="7"/>
  <c r="F58" i="7"/>
  <c r="H58" i="7" s="1"/>
  <c r="H57" i="7"/>
  <c r="H56" i="7"/>
  <c r="K55" i="7"/>
  <c r="H55" i="7"/>
  <c r="K13" i="7" s="1"/>
  <c r="R13" i="7" s="1"/>
  <c r="K54" i="7"/>
  <c r="K53" i="7"/>
  <c r="R53" i="7" s="1"/>
  <c r="G52" i="7"/>
  <c r="F52" i="7"/>
  <c r="B52" i="7"/>
  <c r="K51" i="7"/>
  <c r="G51" i="7"/>
  <c r="G61" i="7" s="1"/>
  <c r="F51" i="7"/>
  <c r="F61" i="7" s="1"/>
  <c r="B51" i="7"/>
  <c r="B53" i="7" s="1"/>
  <c r="K50" i="7"/>
  <c r="R50" i="7" s="1"/>
  <c r="G47" i="7"/>
  <c r="F47" i="7"/>
  <c r="K46" i="7"/>
  <c r="R46" i="7" s="1"/>
  <c r="H46" i="7"/>
  <c r="C46" i="7" s="1"/>
  <c r="K45" i="7"/>
  <c r="H45" i="7"/>
  <c r="C45" i="7" s="1"/>
  <c r="K44" i="7"/>
  <c r="H44" i="7"/>
  <c r="C44" i="7" s="1"/>
  <c r="K43" i="7"/>
  <c r="H43" i="7"/>
  <c r="C43" i="7" s="1"/>
  <c r="H42" i="7"/>
  <c r="C42" i="7" s="1"/>
  <c r="B40" i="7"/>
  <c r="K39" i="7"/>
  <c r="B39" i="7"/>
  <c r="B38" i="7"/>
  <c r="H38" i="7" s="1"/>
  <c r="B37" i="7"/>
  <c r="K36" i="7"/>
  <c r="R36" i="7" s="1"/>
  <c r="K35" i="7"/>
  <c r="R35" i="7" s="1"/>
  <c r="K33" i="7"/>
  <c r="K32" i="7"/>
  <c r="R32" i="7" s="1"/>
  <c r="H31" i="7"/>
  <c r="C31" i="7"/>
  <c r="H30" i="7"/>
  <c r="C30" i="7" s="1"/>
  <c r="K29" i="7"/>
  <c r="R29" i="7" s="1"/>
  <c r="H29" i="7"/>
  <c r="C29" i="7" s="1"/>
  <c r="K28" i="7"/>
  <c r="H28" i="7"/>
  <c r="C28" i="7" s="1"/>
  <c r="K27" i="7"/>
  <c r="H27" i="7"/>
  <c r="C27" i="7" s="1"/>
  <c r="K26" i="7"/>
  <c r="R26" i="7" s="1"/>
  <c r="H26" i="7"/>
  <c r="C26" i="7"/>
  <c r="H25" i="7"/>
  <c r="C25" i="7" s="1"/>
  <c r="H24" i="7"/>
  <c r="C24" i="7" s="1"/>
  <c r="H23" i="7"/>
  <c r="C23" i="7" s="1"/>
  <c r="H22" i="7"/>
  <c r="C22" i="7" s="1"/>
  <c r="H21" i="7"/>
  <c r="C21" i="7" s="1"/>
  <c r="C20" i="7"/>
  <c r="H19" i="7"/>
  <c r="C19" i="7" s="1"/>
  <c r="H18" i="7"/>
  <c r="C18" i="7" s="1"/>
  <c r="H17" i="7"/>
  <c r="C17" i="7" s="1"/>
  <c r="H16" i="7"/>
  <c r="K16" i="7" s="1"/>
  <c r="R16" i="7" s="1"/>
  <c r="H15" i="7"/>
  <c r="C15" i="7" s="1"/>
  <c r="H14" i="7"/>
  <c r="C14" i="7" s="1"/>
  <c r="H13" i="7"/>
  <c r="C13" i="7"/>
  <c r="H12" i="7"/>
  <c r="C12" i="7"/>
  <c r="H11" i="7"/>
  <c r="C11" i="7" s="1"/>
  <c r="H9" i="7"/>
  <c r="K9" i="7" s="1"/>
  <c r="H8" i="7"/>
  <c r="K8" i="7" s="1"/>
  <c r="H7" i="7"/>
  <c r="B48" i="7" l="1"/>
  <c r="B61" i="7"/>
  <c r="G10" i="7"/>
  <c r="G32" i="7" s="1"/>
  <c r="F10" i="7"/>
  <c r="K31" i="7"/>
  <c r="R31" i="7" s="1"/>
  <c r="H65" i="7"/>
  <c r="K92" i="7"/>
  <c r="K93" i="7" s="1"/>
  <c r="H60" i="7"/>
  <c r="H80" i="7"/>
  <c r="H52" i="7"/>
  <c r="K17" i="7"/>
  <c r="R17" i="7" s="1"/>
  <c r="H59" i="7"/>
  <c r="C16" i="7"/>
  <c r="C38" i="7"/>
  <c r="H39" i="7"/>
  <c r="C39" i="7" s="1"/>
  <c r="H40" i="7"/>
  <c r="C40" i="7" s="1"/>
  <c r="H37" i="7"/>
  <c r="H61" i="7"/>
  <c r="K37" i="7"/>
  <c r="H66" i="7"/>
  <c r="K18" i="7" s="1"/>
  <c r="G71" i="7"/>
  <c r="K38" i="7"/>
  <c r="R38" i="7" s="1"/>
  <c r="R40" i="7" s="1"/>
  <c r="B71" i="7"/>
  <c r="K7" i="7"/>
  <c r="K10" i="7"/>
  <c r="R10" i="7" s="1"/>
  <c r="R43" i="7"/>
  <c r="K21" i="7"/>
  <c r="C7" i="7"/>
  <c r="K20" i="7"/>
  <c r="H51" i="7"/>
  <c r="K12" i="7" s="1"/>
  <c r="R12" i="7" s="1"/>
  <c r="H70" i="7"/>
  <c r="G81" i="7"/>
  <c r="K52" i="7"/>
  <c r="R52" i="7" s="1"/>
  <c r="F70" i="7"/>
  <c r="B74" i="7" l="1"/>
  <c r="K34" i="7"/>
  <c r="K40" i="7" s="1"/>
  <c r="F32" i="7"/>
  <c r="H10" i="7"/>
  <c r="K49" i="7"/>
  <c r="B81" i="7"/>
  <c r="B82" i="7" s="1"/>
  <c r="H47" i="7"/>
  <c r="C47" i="7" s="1"/>
  <c r="C37" i="7"/>
  <c r="H71" i="7"/>
  <c r="K19" i="7"/>
  <c r="R19" i="7" s="1"/>
  <c r="F71" i="7"/>
  <c r="K48" i="7"/>
  <c r="R7" i="7"/>
  <c r="B32" i="6"/>
  <c r="B79" i="6"/>
  <c r="H80" i="6" s="1"/>
  <c r="N58" i="6"/>
  <c r="K90" i="6"/>
  <c r="G79" i="6"/>
  <c r="G81" i="6" s="1"/>
  <c r="K84" i="6"/>
  <c r="K34" i="6" s="1"/>
  <c r="G77" i="6"/>
  <c r="K74" i="6"/>
  <c r="B70" i="6"/>
  <c r="B71" i="6" s="1"/>
  <c r="H69" i="6"/>
  <c r="G69" i="6"/>
  <c r="F69" i="6"/>
  <c r="F70" i="6" s="1"/>
  <c r="B66" i="6"/>
  <c r="G65" i="6"/>
  <c r="G66" i="6" s="1"/>
  <c r="F65" i="6"/>
  <c r="F66" i="6" s="1"/>
  <c r="K47" i="6" s="1"/>
  <c r="D64" i="6"/>
  <c r="G60" i="6"/>
  <c r="F60" i="6"/>
  <c r="B60" i="6"/>
  <c r="M59" i="6"/>
  <c r="L59" i="6"/>
  <c r="G59" i="6"/>
  <c r="F59" i="6"/>
  <c r="B59" i="6"/>
  <c r="G58" i="6"/>
  <c r="F58" i="6"/>
  <c r="H57" i="6"/>
  <c r="H56" i="6"/>
  <c r="K55" i="6"/>
  <c r="H55" i="6"/>
  <c r="K13" i="6" s="1"/>
  <c r="K54" i="6"/>
  <c r="K53" i="6"/>
  <c r="G52" i="6"/>
  <c r="F52" i="6"/>
  <c r="B52" i="6"/>
  <c r="K51" i="6"/>
  <c r="G51" i="6"/>
  <c r="G61" i="6" s="1"/>
  <c r="F51" i="6"/>
  <c r="K52" i="6" s="1"/>
  <c r="B51" i="6"/>
  <c r="K50" i="6"/>
  <c r="K49" i="6"/>
  <c r="G47" i="6"/>
  <c r="F47" i="6"/>
  <c r="B47" i="6"/>
  <c r="K46" i="6"/>
  <c r="R46" i="6" s="1"/>
  <c r="H46" i="6"/>
  <c r="C46" i="6" s="1"/>
  <c r="K45" i="6"/>
  <c r="H45" i="6"/>
  <c r="C45" i="6" s="1"/>
  <c r="K44" i="6"/>
  <c r="H44" i="6"/>
  <c r="C44" i="6" s="1"/>
  <c r="K43" i="6"/>
  <c r="H43" i="6"/>
  <c r="C43" i="6" s="1"/>
  <c r="H42" i="6"/>
  <c r="C42" i="6" s="1"/>
  <c r="B40" i="6"/>
  <c r="H40" i="6" s="1"/>
  <c r="K39" i="6"/>
  <c r="B39" i="6"/>
  <c r="H39" i="6" s="1"/>
  <c r="B38" i="6"/>
  <c r="H38" i="6" s="1"/>
  <c r="B37" i="6"/>
  <c r="H37" i="6" s="1"/>
  <c r="K36" i="6"/>
  <c r="K35" i="6"/>
  <c r="K33" i="6"/>
  <c r="K32" i="6"/>
  <c r="R32" i="6" s="1"/>
  <c r="G32" i="6"/>
  <c r="F32" i="6"/>
  <c r="H31" i="6"/>
  <c r="C31" i="6" s="1"/>
  <c r="H30" i="6"/>
  <c r="C30" i="6" s="1"/>
  <c r="K29" i="6"/>
  <c r="R29" i="6" s="1"/>
  <c r="H29" i="6"/>
  <c r="C29" i="6" s="1"/>
  <c r="K28" i="6"/>
  <c r="H28" i="6"/>
  <c r="C28" i="6" s="1"/>
  <c r="K27" i="6"/>
  <c r="H27" i="6"/>
  <c r="C27" i="6"/>
  <c r="K26" i="6"/>
  <c r="H26" i="6"/>
  <c r="C26" i="6" s="1"/>
  <c r="H25" i="6"/>
  <c r="C25" i="6" s="1"/>
  <c r="H24" i="6"/>
  <c r="C24" i="6" s="1"/>
  <c r="H23" i="6"/>
  <c r="C23" i="6" s="1"/>
  <c r="H22" i="6"/>
  <c r="C22" i="6" s="1"/>
  <c r="K21" i="6"/>
  <c r="H21" i="6"/>
  <c r="C21" i="6" s="1"/>
  <c r="H20" i="6"/>
  <c r="C20" i="6" s="1"/>
  <c r="H19" i="6"/>
  <c r="C19" i="6" s="1"/>
  <c r="H18" i="6"/>
  <c r="C18" i="6" s="1"/>
  <c r="H17" i="6"/>
  <c r="C17" i="6" s="1"/>
  <c r="H16" i="6"/>
  <c r="C16" i="6" s="1"/>
  <c r="H15" i="6"/>
  <c r="C15" i="6" s="1"/>
  <c r="H14" i="6"/>
  <c r="C14" i="6" s="1"/>
  <c r="H13" i="6"/>
  <c r="C13" i="6" s="1"/>
  <c r="H12" i="6"/>
  <c r="C12" i="6" s="1"/>
  <c r="H11" i="6"/>
  <c r="C11" i="6" s="1"/>
  <c r="H10" i="6"/>
  <c r="C10" i="6" s="1"/>
  <c r="H9" i="6"/>
  <c r="K9" i="6" s="1"/>
  <c r="H8" i="6"/>
  <c r="K8" i="6" s="1"/>
  <c r="H7" i="6"/>
  <c r="C7" i="6" s="1"/>
  <c r="H32" i="7" l="1"/>
  <c r="C32" i="7" s="1"/>
  <c r="K15" i="7"/>
  <c r="K23" i="7" s="1"/>
  <c r="H59" i="6"/>
  <c r="K92" i="6"/>
  <c r="K93" i="6" s="1"/>
  <c r="H60" i="6"/>
  <c r="G70" i="6"/>
  <c r="K38" i="6" s="1"/>
  <c r="C10" i="7"/>
  <c r="B83" i="7"/>
  <c r="C82" i="7"/>
  <c r="R23" i="7"/>
  <c r="R48" i="7"/>
  <c r="R56" i="7" s="1"/>
  <c r="K56" i="7"/>
  <c r="H52" i="6"/>
  <c r="K15" i="6"/>
  <c r="R26" i="6"/>
  <c r="K31" i="6"/>
  <c r="F61" i="6"/>
  <c r="R35" i="6"/>
  <c r="H51" i="6"/>
  <c r="K16" i="6"/>
  <c r="K10" i="6"/>
  <c r="R10" i="6" s="1"/>
  <c r="C39" i="6"/>
  <c r="C40" i="6"/>
  <c r="R31" i="6"/>
  <c r="B81" i="6"/>
  <c r="B82" i="6" s="1"/>
  <c r="F71" i="6"/>
  <c r="K48" i="6"/>
  <c r="R52" i="6"/>
  <c r="G71" i="6"/>
  <c r="H47" i="6"/>
  <c r="R13" i="6"/>
  <c r="K37" i="6"/>
  <c r="H66" i="6"/>
  <c r="K18" i="6" s="1"/>
  <c r="B48" i="6"/>
  <c r="B53" i="6"/>
  <c r="B61" i="6" s="1"/>
  <c r="H61" i="6" s="1"/>
  <c r="K56" i="6"/>
  <c r="K7" i="6"/>
  <c r="C37" i="6"/>
  <c r="R43" i="6"/>
  <c r="H58" i="6"/>
  <c r="K20" i="6"/>
  <c r="H32" i="6"/>
  <c r="C32" i="6" s="1"/>
  <c r="R36" i="6"/>
  <c r="C38" i="6"/>
  <c r="R50" i="6"/>
  <c r="R53" i="6"/>
  <c r="H65" i="6"/>
  <c r="H70" i="6"/>
  <c r="K17" i="6"/>
  <c r="H7" i="5"/>
  <c r="B7" i="5" s="1"/>
  <c r="B8" i="5"/>
  <c r="B9" i="5"/>
  <c r="K28" i="5"/>
  <c r="K9" i="5"/>
  <c r="B33" i="5" l="1"/>
  <c r="K58" i="7"/>
  <c r="O58" i="7" s="1"/>
  <c r="K12" i="6"/>
  <c r="C47" i="6"/>
  <c r="R16" i="6"/>
  <c r="R38" i="6"/>
  <c r="R40" i="6" s="1"/>
  <c r="B74" i="6"/>
  <c r="H71" i="6"/>
  <c r="K19" i="6"/>
  <c r="R7" i="6"/>
  <c r="R48" i="6"/>
  <c r="K40" i="6"/>
  <c r="R17" i="6"/>
  <c r="F59" i="5"/>
  <c r="O58" i="5"/>
  <c r="K88" i="5"/>
  <c r="K49" i="5" s="1"/>
  <c r="K83" i="5"/>
  <c r="K34" i="5" s="1"/>
  <c r="G80" i="5"/>
  <c r="B80" i="5"/>
  <c r="K76" i="5"/>
  <c r="B72" i="5"/>
  <c r="H70" i="5"/>
  <c r="H71" i="5" s="1"/>
  <c r="H72" i="5" s="1"/>
  <c r="K19" i="5" s="1"/>
  <c r="G70" i="5"/>
  <c r="G71" i="5" s="1"/>
  <c r="G72" i="5" s="1"/>
  <c r="K38" i="5" s="1"/>
  <c r="F70" i="5"/>
  <c r="F71" i="5" s="1"/>
  <c r="F72" i="5" s="1"/>
  <c r="K48" i="5" s="1"/>
  <c r="B67" i="5"/>
  <c r="G66" i="5"/>
  <c r="F66" i="5"/>
  <c r="F67" i="5" s="1"/>
  <c r="K47" i="5" s="1"/>
  <c r="D65" i="5"/>
  <c r="G61" i="5"/>
  <c r="F61" i="5"/>
  <c r="B61" i="5"/>
  <c r="G60" i="5"/>
  <c r="F60" i="5"/>
  <c r="B60" i="5"/>
  <c r="B58" i="5"/>
  <c r="H58" i="5" s="1"/>
  <c r="H57" i="5"/>
  <c r="H56" i="5"/>
  <c r="K14" i="5" s="1"/>
  <c r="W56" i="5"/>
  <c r="U56" i="5"/>
  <c r="S56" i="5"/>
  <c r="K55" i="5"/>
  <c r="G53" i="5"/>
  <c r="F53" i="5"/>
  <c r="B53" i="5"/>
  <c r="K53" i="5"/>
  <c r="G52" i="5"/>
  <c r="F52" i="5"/>
  <c r="F62" i="5" s="1"/>
  <c r="B52" i="5"/>
  <c r="K51" i="5"/>
  <c r="K50" i="5"/>
  <c r="G48" i="5"/>
  <c r="F48" i="5"/>
  <c r="B48" i="5"/>
  <c r="H47" i="5"/>
  <c r="C47" i="5" s="1"/>
  <c r="H46" i="5"/>
  <c r="C46" i="5" s="1"/>
  <c r="K46" i="5"/>
  <c r="H45" i="5"/>
  <c r="C45" i="5" s="1"/>
  <c r="K44" i="5"/>
  <c r="H44" i="5"/>
  <c r="C44" i="5" s="1"/>
  <c r="K43" i="5"/>
  <c r="H43" i="5"/>
  <c r="C43" i="5" s="1"/>
  <c r="B41" i="5"/>
  <c r="H41" i="5" s="1"/>
  <c r="B40" i="5"/>
  <c r="K39" i="5"/>
  <c r="B39" i="5"/>
  <c r="B38" i="5"/>
  <c r="K36" i="5"/>
  <c r="K35" i="5"/>
  <c r="G33" i="5"/>
  <c r="F33" i="5"/>
  <c r="K32" i="5"/>
  <c r="H32" i="5"/>
  <c r="C32" i="5" s="1"/>
  <c r="H31" i="5"/>
  <c r="K20" i="5" s="1"/>
  <c r="K30" i="5"/>
  <c r="H30" i="5"/>
  <c r="K21" i="5" s="1"/>
  <c r="K29" i="5"/>
  <c r="H29" i="5"/>
  <c r="K27" i="5"/>
  <c r="H28" i="5"/>
  <c r="H27" i="5"/>
  <c r="H26" i="5"/>
  <c r="H25" i="5"/>
  <c r="H24" i="5"/>
  <c r="H23" i="5"/>
  <c r="H22" i="5"/>
  <c r="H21" i="5"/>
  <c r="H20" i="5"/>
  <c r="H19" i="5"/>
  <c r="H18" i="5"/>
  <c r="H17" i="5"/>
  <c r="K16" i="5" s="1"/>
  <c r="H16" i="5"/>
  <c r="V15" i="5"/>
  <c r="U15" i="5"/>
  <c r="T15" i="5"/>
  <c r="S15" i="5"/>
  <c r="R15" i="5"/>
  <c r="Q15" i="5"/>
  <c r="P15" i="5"/>
  <c r="H15" i="5"/>
  <c r="H14" i="5"/>
  <c r="V13" i="5"/>
  <c r="U13" i="5"/>
  <c r="T13" i="5"/>
  <c r="S13" i="5"/>
  <c r="R13" i="5"/>
  <c r="Q13" i="5"/>
  <c r="P13" i="5"/>
  <c r="H13" i="5"/>
  <c r="H12" i="5"/>
  <c r="V11" i="5"/>
  <c r="U11" i="5"/>
  <c r="T11" i="5"/>
  <c r="S11" i="5"/>
  <c r="R11" i="5"/>
  <c r="Q11" i="5"/>
  <c r="P11" i="5"/>
  <c r="H11" i="5"/>
  <c r="H10" i="5"/>
  <c r="K11" i="5" s="1"/>
  <c r="X8" i="5"/>
  <c r="W8" i="5"/>
  <c r="P8" i="5"/>
  <c r="K8" i="5"/>
  <c r="X7" i="5"/>
  <c r="W7" i="5"/>
  <c r="X6" i="5" s="1"/>
  <c r="P7" i="5"/>
  <c r="K26" i="5"/>
  <c r="V6" i="5"/>
  <c r="U6" i="5"/>
  <c r="T6" i="5"/>
  <c r="S6" i="5"/>
  <c r="R6" i="5"/>
  <c r="Q6" i="5"/>
  <c r="H61" i="5" l="1"/>
  <c r="K23" i="6"/>
  <c r="K58" i="6" s="1"/>
  <c r="O58" i="6" s="1"/>
  <c r="R56" i="6"/>
  <c r="R12" i="6"/>
  <c r="C82" i="6"/>
  <c r="B83" i="6"/>
  <c r="R19" i="6"/>
  <c r="R23" i="6" s="1"/>
  <c r="T16" i="5"/>
  <c r="R16" i="5"/>
  <c r="H66" i="5"/>
  <c r="K15" i="5"/>
  <c r="S16" i="5"/>
  <c r="V16" i="5"/>
  <c r="B82" i="5"/>
  <c r="B83" i="5" s="1"/>
  <c r="W15" i="5"/>
  <c r="Q16" i="5"/>
  <c r="U16" i="5"/>
  <c r="X13" i="5"/>
  <c r="X11" i="5"/>
  <c r="X16" i="5" s="1"/>
  <c r="W13" i="5"/>
  <c r="X15" i="5"/>
  <c r="H81" i="5"/>
  <c r="K17" i="5"/>
  <c r="H38" i="5"/>
  <c r="K10" i="5"/>
  <c r="H40" i="5"/>
  <c r="C40" i="5" s="1"/>
  <c r="B54" i="5"/>
  <c r="B62" i="5" s="1"/>
  <c r="H60" i="5"/>
  <c r="H39" i="5"/>
  <c r="C39" i="5" s="1"/>
  <c r="C41" i="5"/>
  <c r="K52" i="5"/>
  <c r="K56" i="5" s="1"/>
  <c r="H52" i="5"/>
  <c r="G59" i="5"/>
  <c r="K31" i="5" s="1"/>
  <c r="G62" i="5"/>
  <c r="G67" i="5"/>
  <c r="K37" i="5" s="1"/>
  <c r="W6" i="5"/>
  <c r="W11" i="5"/>
  <c r="B49" i="5"/>
  <c r="H53" i="5"/>
  <c r="K66" i="4"/>
  <c r="K77" i="4"/>
  <c r="K84" i="4" s="1"/>
  <c r="B70" i="4"/>
  <c r="B71" i="4" s="1"/>
  <c r="N58" i="4"/>
  <c r="K90" i="4"/>
  <c r="K49" i="4" s="1"/>
  <c r="S86" i="4"/>
  <c r="S85" i="4"/>
  <c r="S84" i="4"/>
  <c r="S81" i="4"/>
  <c r="S80" i="4"/>
  <c r="S79" i="4"/>
  <c r="B79" i="4"/>
  <c r="S78" i="4"/>
  <c r="G77" i="4"/>
  <c r="G79" i="4" s="1"/>
  <c r="G81" i="4" s="1"/>
  <c r="S76" i="4"/>
  <c r="S75" i="4"/>
  <c r="H69" i="4"/>
  <c r="G69" i="4"/>
  <c r="F69" i="4"/>
  <c r="S67" i="4"/>
  <c r="S66" i="4"/>
  <c r="B66" i="4"/>
  <c r="G65" i="4"/>
  <c r="H65" i="4" s="1"/>
  <c r="F65" i="4"/>
  <c r="F66" i="4" s="1"/>
  <c r="S64" i="4"/>
  <c r="D64" i="4"/>
  <c r="S63" i="4"/>
  <c r="S62" i="4"/>
  <c r="S61" i="4"/>
  <c r="G60" i="4"/>
  <c r="F60" i="4"/>
  <c r="B60" i="4"/>
  <c r="M59" i="4"/>
  <c r="L59" i="4"/>
  <c r="G59" i="4"/>
  <c r="F59" i="4"/>
  <c r="B59" i="4"/>
  <c r="G58" i="4"/>
  <c r="F58" i="4"/>
  <c r="H57" i="4"/>
  <c r="H56" i="4"/>
  <c r="K55" i="4"/>
  <c r="H55" i="4"/>
  <c r="K13" i="4" s="1"/>
  <c r="R13" i="4" s="1"/>
  <c r="S13" i="4" s="1"/>
  <c r="K54" i="4"/>
  <c r="K53" i="4"/>
  <c r="G52" i="4"/>
  <c r="F52" i="4"/>
  <c r="B52" i="4"/>
  <c r="K51" i="4"/>
  <c r="G51" i="4"/>
  <c r="G61" i="4" s="1"/>
  <c r="F51" i="4"/>
  <c r="F61" i="4" s="1"/>
  <c r="B51" i="4"/>
  <c r="K50" i="4"/>
  <c r="R50" i="4" s="1"/>
  <c r="S50" i="4" s="1"/>
  <c r="G47" i="4"/>
  <c r="F47" i="4"/>
  <c r="B47" i="4"/>
  <c r="K46" i="4"/>
  <c r="H46" i="4"/>
  <c r="C46" i="4" s="1"/>
  <c r="K45" i="4"/>
  <c r="H45" i="4"/>
  <c r="C45" i="4" s="1"/>
  <c r="K44" i="4"/>
  <c r="H44" i="4"/>
  <c r="C44" i="4" s="1"/>
  <c r="K43" i="4"/>
  <c r="R43" i="4" s="1"/>
  <c r="H43" i="4"/>
  <c r="C43" i="4" s="1"/>
  <c r="H42" i="4"/>
  <c r="C42" i="4" s="1"/>
  <c r="B40" i="4"/>
  <c r="H40" i="4" s="1"/>
  <c r="K39" i="4"/>
  <c r="B39" i="4"/>
  <c r="H39" i="4" s="1"/>
  <c r="B38" i="4"/>
  <c r="H38" i="4" s="1"/>
  <c r="C38" i="4" s="1"/>
  <c r="B37" i="4"/>
  <c r="K36" i="4"/>
  <c r="R36" i="4" s="1"/>
  <c r="S36" i="4" s="1"/>
  <c r="K35" i="4"/>
  <c r="R35" i="4" s="1"/>
  <c r="S35" i="4" s="1"/>
  <c r="K33" i="4"/>
  <c r="S33" i="4" s="1"/>
  <c r="K32" i="4"/>
  <c r="F32" i="4"/>
  <c r="B32" i="4"/>
  <c r="H31" i="4"/>
  <c r="C31" i="4"/>
  <c r="S30" i="4"/>
  <c r="H30" i="4"/>
  <c r="C30" i="4" s="1"/>
  <c r="K29" i="4"/>
  <c r="H29" i="4"/>
  <c r="K21" i="4" s="1"/>
  <c r="K28" i="4"/>
  <c r="S28" i="4" s="1"/>
  <c r="H28" i="4"/>
  <c r="C28" i="4"/>
  <c r="K27" i="4"/>
  <c r="S27" i="4" s="1"/>
  <c r="H27" i="4"/>
  <c r="C27" i="4" s="1"/>
  <c r="K26" i="4"/>
  <c r="R26" i="4" s="1"/>
  <c r="S26" i="4" s="1"/>
  <c r="H26" i="4"/>
  <c r="C26" i="4" s="1"/>
  <c r="H25" i="4"/>
  <c r="C25" i="4" s="1"/>
  <c r="H24" i="4"/>
  <c r="C24" i="4"/>
  <c r="H23" i="4"/>
  <c r="C23" i="4" s="1"/>
  <c r="H22" i="4"/>
  <c r="C22" i="4" s="1"/>
  <c r="H21" i="4"/>
  <c r="C21" i="4" s="1"/>
  <c r="H20" i="4"/>
  <c r="C20" i="4" s="1"/>
  <c r="H19" i="4"/>
  <c r="C19" i="4" s="1"/>
  <c r="H18" i="4"/>
  <c r="C18" i="4" s="1"/>
  <c r="H17" i="4"/>
  <c r="H16" i="4"/>
  <c r="K16" i="4" s="1"/>
  <c r="H15" i="4"/>
  <c r="C15" i="4" s="1"/>
  <c r="H14" i="4"/>
  <c r="C14" i="4" s="1"/>
  <c r="H13" i="4"/>
  <c r="C13" i="4" s="1"/>
  <c r="H12" i="4"/>
  <c r="C12" i="4"/>
  <c r="H11" i="4"/>
  <c r="C11" i="4" s="1"/>
  <c r="G32" i="4"/>
  <c r="H9" i="4"/>
  <c r="K9" i="4" s="1"/>
  <c r="H8" i="4"/>
  <c r="K8" i="4" s="1"/>
  <c r="H7" i="4"/>
  <c r="K7" i="4" s="1"/>
  <c r="K47" i="4" l="1"/>
  <c r="G66" i="4"/>
  <c r="K37" i="4" s="1"/>
  <c r="S37" i="4" s="1"/>
  <c r="C29" i="4"/>
  <c r="H70" i="4"/>
  <c r="K19" i="4" s="1"/>
  <c r="K40" i="5"/>
  <c r="W16" i="5"/>
  <c r="H62" i="5"/>
  <c r="H48" i="5"/>
  <c r="C48" i="5" s="1"/>
  <c r="H59" i="5"/>
  <c r="K12" i="5" s="1"/>
  <c r="C38" i="5"/>
  <c r="H67" i="5"/>
  <c r="K18" i="5" s="1"/>
  <c r="K7" i="5"/>
  <c r="H33" i="5"/>
  <c r="C33" i="5" s="1"/>
  <c r="B75" i="5"/>
  <c r="S77" i="4"/>
  <c r="F70" i="4"/>
  <c r="F71" i="4" s="1"/>
  <c r="K31" i="4"/>
  <c r="R31" i="4" s="1"/>
  <c r="S31" i="4" s="1"/>
  <c r="H51" i="4"/>
  <c r="R53" i="4"/>
  <c r="S53" i="4" s="1"/>
  <c r="K17" i="4"/>
  <c r="R17" i="4" s="1"/>
  <c r="S17" i="4" s="1"/>
  <c r="C17" i="4"/>
  <c r="H52" i="4"/>
  <c r="B53" i="4"/>
  <c r="B61" i="4" s="1"/>
  <c r="H61" i="4" s="1"/>
  <c r="H58" i="4"/>
  <c r="H60" i="4"/>
  <c r="H59" i="4"/>
  <c r="R7" i="4"/>
  <c r="S7" i="4" s="1"/>
  <c r="R16" i="4"/>
  <c r="S16" i="4" s="1"/>
  <c r="H71" i="4"/>
  <c r="B81" i="4"/>
  <c r="B82" i="4" s="1"/>
  <c r="K48" i="4"/>
  <c r="H80" i="4"/>
  <c r="C7" i="4"/>
  <c r="K10" i="4"/>
  <c r="C16" i="4"/>
  <c r="K20" i="4"/>
  <c r="H37" i="4"/>
  <c r="H47" i="4" s="1"/>
  <c r="S43" i="4"/>
  <c r="G70" i="4"/>
  <c r="R29" i="4"/>
  <c r="S29" i="4" s="1"/>
  <c r="R32" i="4"/>
  <c r="S32" i="4" s="1"/>
  <c r="C39" i="4"/>
  <c r="C40" i="4"/>
  <c r="B48" i="4"/>
  <c r="K34" i="4"/>
  <c r="S34" i="4" s="1"/>
  <c r="R46" i="4"/>
  <c r="S46" i="4" s="1"/>
  <c r="H10" i="4"/>
  <c r="K52" i="4"/>
  <c r="H42" i="3"/>
  <c r="C42" i="3" s="1"/>
  <c r="O56" i="3"/>
  <c r="B32" i="3"/>
  <c r="G7" i="3"/>
  <c r="K26" i="3" s="1"/>
  <c r="B7" i="3"/>
  <c r="K86" i="3"/>
  <c r="K47" i="3" s="1"/>
  <c r="K81" i="3"/>
  <c r="G79" i="3"/>
  <c r="B79" i="3"/>
  <c r="K74" i="3"/>
  <c r="B71" i="3"/>
  <c r="F70" i="3"/>
  <c r="F71" i="3" s="1"/>
  <c r="K46" i="3" s="1"/>
  <c r="H69" i="3"/>
  <c r="H70" i="3" s="1"/>
  <c r="H71" i="3" s="1"/>
  <c r="K19" i="3" s="1"/>
  <c r="G69" i="3"/>
  <c r="G70" i="3" s="1"/>
  <c r="G71" i="3" s="1"/>
  <c r="K37" i="3" s="1"/>
  <c r="F69" i="3"/>
  <c r="B66" i="3"/>
  <c r="G65" i="3"/>
  <c r="F65" i="3"/>
  <c r="F66" i="3" s="1"/>
  <c r="K45" i="3" s="1"/>
  <c r="D64" i="3"/>
  <c r="G60" i="3"/>
  <c r="F60" i="3"/>
  <c r="B60" i="3"/>
  <c r="G59" i="3"/>
  <c r="F59" i="3"/>
  <c r="B59" i="3"/>
  <c r="G58" i="3"/>
  <c r="B57" i="3"/>
  <c r="H57" i="3" s="1"/>
  <c r="H56" i="3"/>
  <c r="H55" i="3"/>
  <c r="K14" i="3" s="1"/>
  <c r="W54" i="3"/>
  <c r="U54" i="3"/>
  <c r="S54" i="3"/>
  <c r="K53" i="3"/>
  <c r="G52" i="3"/>
  <c r="F52" i="3"/>
  <c r="B52" i="3"/>
  <c r="K51" i="3"/>
  <c r="G51" i="3"/>
  <c r="G61" i="3" s="1"/>
  <c r="F51" i="3"/>
  <c r="F61" i="3" s="1"/>
  <c r="B51" i="3"/>
  <c r="K49" i="3"/>
  <c r="K48" i="3"/>
  <c r="G47" i="3"/>
  <c r="F47" i="3"/>
  <c r="B47" i="3"/>
  <c r="H46" i="3"/>
  <c r="C46" i="3" s="1"/>
  <c r="H45" i="3"/>
  <c r="C45" i="3" s="1"/>
  <c r="K44" i="3"/>
  <c r="H44" i="3"/>
  <c r="C44" i="3" s="1"/>
  <c r="H43" i="3"/>
  <c r="K42" i="3"/>
  <c r="B40" i="3"/>
  <c r="B39" i="3"/>
  <c r="K38" i="3"/>
  <c r="B38" i="3"/>
  <c r="B48" i="3" s="1"/>
  <c r="B37" i="3"/>
  <c r="K35" i="3"/>
  <c r="K34" i="3"/>
  <c r="K33" i="3"/>
  <c r="K31" i="3"/>
  <c r="H31" i="3"/>
  <c r="C31" i="3" s="1"/>
  <c r="H30" i="3"/>
  <c r="K20" i="3" s="1"/>
  <c r="K29" i="3"/>
  <c r="H29" i="3"/>
  <c r="K21" i="3" s="1"/>
  <c r="K28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K16" i="3" s="1"/>
  <c r="H15" i="3"/>
  <c r="V14" i="3"/>
  <c r="U14" i="3"/>
  <c r="T14" i="3"/>
  <c r="S14" i="3"/>
  <c r="R14" i="3"/>
  <c r="Q14" i="3"/>
  <c r="P14" i="3"/>
  <c r="H14" i="3"/>
  <c r="H13" i="3"/>
  <c r="V12" i="3"/>
  <c r="U12" i="3"/>
  <c r="T12" i="3"/>
  <c r="T15" i="3" s="1"/>
  <c r="S12" i="3"/>
  <c r="R12" i="3"/>
  <c r="Q12" i="3"/>
  <c r="P12" i="3"/>
  <c r="H12" i="3"/>
  <c r="H11" i="3"/>
  <c r="V10" i="3"/>
  <c r="U10" i="3"/>
  <c r="U15" i="3" s="1"/>
  <c r="T10" i="3"/>
  <c r="S10" i="3"/>
  <c r="S15" i="3" s="1"/>
  <c r="R10" i="3"/>
  <c r="Q10" i="3"/>
  <c r="Q15" i="3" s="1"/>
  <c r="P10" i="3"/>
  <c r="H10" i="3"/>
  <c r="K15" i="3" s="1"/>
  <c r="H9" i="3"/>
  <c r="K11" i="3" s="1"/>
  <c r="X8" i="3"/>
  <c r="X6" i="3" s="1"/>
  <c r="W8" i="3"/>
  <c r="P8" i="3"/>
  <c r="K27" i="3"/>
  <c r="F32" i="3"/>
  <c r="X7" i="3"/>
  <c r="W7" i="3"/>
  <c r="P7" i="3"/>
  <c r="G32" i="3"/>
  <c r="V6" i="3"/>
  <c r="U6" i="3"/>
  <c r="T6" i="3"/>
  <c r="S6" i="3"/>
  <c r="R6" i="3"/>
  <c r="Q6" i="3"/>
  <c r="R15" i="3" l="1"/>
  <c r="X10" i="3"/>
  <c r="W12" i="3"/>
  <c r="B81" i="3"/>
  <c r="B82" i="3" s="1"/>
  <c r="B74" i="4"/>
  <c r="W6" i="3"/>
  <c r="W10" i="3"/>
  <c r="X12" i="3"/>
  <c r="W14" i="3"/>
  <c r="X14" i="3"/>
  <c r="H65" i="3"/>
  <c r="H66" i="4"/>
  <c r="K18" i="4" s="1"/>
  <c r="C83" i="5"/>
  <c r="B84" i="5"/>
  <c r="K23" i="5"/>
  <c r="K58" i="5" s="1"/>
  <c r="K12" i="4"/>
  <c r="R12" i="4" s="1"/>
  <c r="S12" i="4" s="1"/>
  <c r="C47" i="4"/>
  <c r="C37" i="4"/>
  <c r="R48" i="4"/>
  <c r="S48" i="4" s="1"/>
  <c r="R10" i="4"/>
  <c r="C10" i="4"/>
  <c r="R52" i="4"/>
  <c r="S52" i="4" s="1"/>
  <c r="K56" i="4"/>
  <c r="K38" i="4"/>
  <c r="G71" i="4"/>
  <c r="H32" i="4"/>
  <c r="C32" i="4" s="1"/>
  <c r="C82" i="4"/>
  <c r="R19" i="4"/>
  <c r="S19" i="4" s="1"/>
  <c r="K30" i="3"/>
  <c r="H80" i="3"/>
  <c r="H60" i="3"/>
  <c r="K10" i="3"/>
  <c r="H51" i="3"/>
  <c r="H52" i="3"/>
  <c r="H59" i="3"/>
  <c r="B53" i="3"/>
  <c r="K17" i="3"/>
  <c r="X15" i="3"/>
  <c r="G66" i="3"/>
  <c r="K43" i="3"/>
  <c r="H7" i="3"/>
  <c r="V15" i="3"/>
  <c r="H37" i="3"/>
  <c r="H38" i="3"/>
  <c r="C38" i="3" s="1"/>
  <c r="H39" i="3"/>
  <c r="C39" i="3" s="1"/>
  <c r="H40" i="3"/>
  <c r="C40" i="3" s="1"/>
  <c r="C43" i="3"/>
  <c r="F58" i="3"/>
  <c r="H8" i="3"/>
  <c r="K8" i="3" s="1"/>
  <c r="Z58" i="1"/>
  <c r="B70" i="1"/>
  <c r="K66" i="1"/>
  <c r="K61" i="1"/>
  <c r="S61" i="1" s="1"/>
  <c r="K65" i="1"/>
  <c r="N58" i="1"/>
  <c r="K90" i="1"/>
  <c r="S86" i="1"/>
  <c r="S85" i="1"/>
  <c r="S84" i="1"/>
  <c r="S81" i="1"/>
  <c r="S80" i="1"/>
  <c r="S79" i="1"/>
  <c r="B79" i="1"/>
  <c r="S78" i="1"/>
  <c r="S77" i="1"/>
  <c r="G77" i="1"/>
  <c r="G79" i="1" s="1"/>
  <c r="G81" i="1" s="1"/>
  <c r="S76" i="1"/>
  <c r="S75" i="1"/>
  <c r="G70" i="1"/>
  <c r="H69" i="1"/>
  <c r="H70" i="1" s="1"/>
  <c r="G69" i="1"/>
  <c r="F69" i="1"/>
  <c r="S67" i="1"/>
  <c r="S66" i="1"/>
  <c r="F66" i="1"/>
  <c r="B66" i="1"/>
  <c r="G65" i="1"/>
  <c r="G66" i="1" s="1"/>
  <c r="F65" i="1"/>
  <c r="S64" i="1"/>
  <c r="D64" i="1"/>
  <c r="S63" i="1"/>
  <c r="S62" i="1"/>
  <c r="G60" i="1"/>
  <c r="F60" i="1"/>
  <c r="B60" i="1"/>
  <c r="M59" i="1"/>
  <c r="L59" i="1"/>
  <c r="G59" i="1"/>
  <c r="F59" i="1"/>
  <c r="B59" i="1"/>
  <c r="G58" i="1"/>
  <c r="F58" i="1"/>
  <c r="H57" i="1"/>
  <c r="H56" i="1"/>
  <c r="K55" i="1"/>
  <c r="H55" i="1"/>
  <c r="K13" i="1" s="1"/>
  <c r="K54" i="1"/>
  <c r="K53" i="1"/>
  <c r="R53" i="1" s="1"/>
  <c r="G52" i="1"/>
  <c r="F52" i="1"/>
  <c r="B52" i="1"/>
  <c r="K51" i="1"/>
  <c r="G51" i="1"/>
  <c r="G61" i="1" s="1"/>
  <c r="F51" i="1"/>
  <c r="K52" i="1" s="1"/>
  <c r="B51" i="1"/>
  <c r="B53" i="1" s="1"/>
  <c r="K50" i="1"/>
  <c r="R50" i="1" s="1"/>
  <c r="K47" i="1"/>
  <c r="G47" i="1"/>
  <c r="F47" i="1"/>
  <c r="B47" i="1"/>
  <c r="K46" i="1"/>
  <c r="H46" i="1"/>
  <c r="C46" i="1" s="1"/>
  <c r="K45" i="1"/>
  <c r="H45" i="1"/>
  <c r="C45" i="1" s="1"/>
  <c r="K44" i="1"/>
  <c r="H44" i="1"/>
  <c r="C44" i="1" s="1"/>
  <c r="K43" i="1"/>
  <c r="H43" i="1"/>
  <c r="C43" i="1" s="1"/>
  <c r="H42" i="1"/>
  <c r="B40" i="1"/>
  <c r="H40" i="1" s="1"/>
  <c r="K39" i="1"/>
  <c r="B39" i="1"/>
  <c r="H39" i="1" s="1"/>
  <c r="B38" i="1"/>
  <c r="B37" i="1"/>
  <c r="H37" i="1" s="1"/>
  <c r="K36" i="1"/>
  <c r="R36" i="1" s="1"/>
  <c r="K35" i="1"/>
  <c r="R35" i="1" s="1"/>
  <c r="S35" i="1" s="1"/>
  <c r="S33" i="1"/>
  <c r="K33" i="1"/>
  <c r="K32" i="1"/>
  <c r="B32" i="1"/>
  <c r="K31" i="1"/>
  <c r="H31" i="1"/>
  <c r="C31" i="1"/>
  <c r="S30" i="1"/>
  <c r="H30" i="1"/>
  <c r="C30" i="1" s="1"/>
  <c r="K29" i="1"/>
  <c r="H29" i="1"/>
  <c r="C29" i="1" s="1"/>
  <c r="K28" i="1"/>
  <c r="S28" i="1" s="1"/>
  <c r="H28" i="1"/>
  <c r="C28" i="1" s="1"/>
  <c r="K27" i="1"/>
  <c r="S27" i="1" s="1"/>
  <c r="H27" i="1"/>
  <c r="C27" i="1" s="1"/>
  <c r="K26" i="1"/>
  <c r="R26" i="1" s="1"/>
  <c r="S26" i="1" s="1"/>
  <c r="H26" i="1"/>
  <c r="C26" i="1" s="1"/>
  <c r="H25" i="1"/>
  <c r="C25" i="1" s="1"/>
  <c r="H24" i="1"/>
  <c r="C24" i="1" s="1"/>
  <c r="H23" i="1"/>
  <c r="C23" i="1" s="1"/>
  <c r="H22" i="1"/>
  <c r="C22" i="1" s="1"/>
  <c r="K21" i="1"/>
  <c r="H21" i="1"/>
  <c r="C21" i="1" s="1"/>
  <c r="H20" i="1"/>
  <c r="C20" i="1" s="1"/>
  <c r="H19" i="1"/>
  <c r="C19" i="1"/>
  <c r="H18" i="1"/>
  <c r="C18" i="1" s="1"/>
  <c r="H17" i="1"/>
  <c r="C17" i="1" s="1"/>
  <c r="H16" i="1"/>
  <c r="C16" i="1" s="1"/>
  <c r="H15" i="1"/>
  <c r="C15" i="1" s="1"/>
  <c r="H14" i="1"/>
  <c r="C14" i="1" s="1"/>
  <c r="H13" i="1"/>
  <c r="C13" i="1" s="1"/>
  <c r="H12" i="1"/>
  <c r="C12" i="1" s="1"/>
  <c r="H11" i="1"/>
  <c r="C11" i="1" s="1"/>
  <c r="H9" i="1"/>
  <c r="K9" i="1" s="1"/>
  <c r="H8" i="1"/>
  <c r="K8" i="1" s="1"/>
  <c r="H7" i="1"/>
  <c r="K7" i="1" s="1"/>
  <c r="H59" i="1" l="1"/>
  <c r="W15" i="3"/>
  <c r="H60" i="1"/>
  <c r="H61" i="3"/>
  <c r="B61" i="3"/>
  <c r="B74" i="3" s="1"/>
  <c r="H58" i="1"/>
  <c r="K74" i="1"/>
  <c r="K65" i="4"/>
  <c r="Q56" i="5"/>
  <c r="Y58" i="5"/>
  <c r="R23" i="4"/>
  <c r="S10" i="4"/>
  <c r="B83" i="4"/>
  <c r="R56" i="4"/>
  <c r="R38" i="4"/>
  <c r="R40" i="4" s="1"/>
  <c r="S38" i="4"/>
  <c r="K40" i="4"/>
  <c r="H32" i="3"/>
  <c r="C32" i="3" s="1"/>
  <c r="K7" i="3"/>
  <c r="H66" i="3"/>
  <c r="K18" i="3" s="1"/>
  <c r="K36" i="3"/>
  <c r="K39" i="3" s="1"/>
  <c r="H58" i="3"/>
  <c r="K12" i="3" s="1"/>
  <c r="K50" i="3"/>
  <c r="K54" i="3" s="1"/>
  <c r="H47" i="3"/>
  <c r="C47" i="3" s="1"/>
  <c r="B83" i="3"/>
  <c r="C37" i="3"/>
  <c r="F70" i="1"/>
  <c r="K16" i="1"/>
  <c r="K10" i="1"/>
  <c r="R10" i="1" s="1"/>
  <c r="S10" i="1" s="1"/>
  <c r="S65" i="1"/>
  <c r="R43" i="1"/>
  <c r="S43" i="1" s="1"/>
  <c r="K17" i="1"/>
  <c r="R17" i="1" s="1"/>
  <c r="S17" i="1" s="1"/>
  <c r="C7" i="1"/>
  <c r="H52" i="1"/>
  <c r="H38" i="1"/>
  <c r="H47" i="1" s="1"/>
  <c r="B61" i="1"/>
  <c r="H61" i="1" s="1"/>
  <c r="G71" i="1"/>
  <c r="K38" i="1"/>
  <c r="F71" i="1"/>
  <c r="K48" i="1"/>
  <c r="K56" i="1" s="1"/>
  <c r="C37" i="1"/>
  <c r="R52" i="1"/>
  <c r="S52" i="1" s="1"/>
  <c r="R13" i="1"/>
  <c r="S13" i="1" s="1"/>
  <c r="H66" i="1"/>
  <c r="K18" i="1" s="1"/>
  <c r="K37" i="1"/>
  <c r="S37" i="1" s="1"/>
  <c r="K49" i="1"/>
  <c r="F32" i="1"/>
  <c r="K19" i="1"/>
  <c r="H71" i="1"/>
  <c r="H80" i="1"/>
  <c r="S50" i="1"/>
  <c r="H51" i="1"/>
  <c r="S53" i="1"/>
  <c r="K84" i="1"/>
  <c r="S36" i="1"/>
  <c r="R7" i="1"/>
  <c r="S7" i="1" s="1"/>
  <c r="R29" i="1"/>
  <c r="S29" i="1" s="1"/>
  <c r="R31" i="1"/>
  <c r="S31" i="1" s="1"/>
  <c r="R32" i="1"/>
  <c r="S32" i="1" s="1"/>
  <c r="C39" i="1"/>
  <c r="C40" i="1"/>
  <c r="C42" i="1"/>
  <c r="R46" i="1"/>
  <c r="S46" i="1" s="1"/>
  <c r="B48" i="1"/>
  <c r="F61" i="1"/>
  <c r="H65" i="1"/>
  <c r="B71" i="1"/>
  <c r="B81" i="1" s="1"/>
  <c r="K20" i="1"/>
  <c r="S65" i="4" l="1"/>
  <c r="K74" i="4"/>
  <c r="K92" i="1"/>
  <c r="K93" i="1" s="1"/>
  <c r="G10" i="1"/>
  <c r="G32" i="1" s="1"/>
  <c r="K12" i="1"/>
  <c r="K23" i="3"/>
  <c r="K56" i="3" s="1"/>
  <c r="Q54" i="3" s="1"/>
  <c r="C82" i="3"/>
  <c r="C47" i="1"/>
  <c r="C38" i="1"/>
  <c r="B82" i="1"/>
  <c r="B74" i="1"/>
  <c r="K34" i="1"/>
  <c r="R48" i="1"/>
  <c r="R56" i="1" s="1"/>
  <c r="R38" i="1"/>
  <c r="S38" i="1" s="1"/>
  <c r="R12" i="1"/>
  <c r="S12" i="1" s="1"/>
  <c r="R19" i="1"/>
  <c r="S19" i="1" s="1"/>
  <c r="R16" i="1"/>
  <c r="H10" i="1" l="1"/>
  <c r="K15" i="1" s="1"/>
  <c r="K23" i="1" s="1"/>
  <c r="K92" i="4"/>
  <c r="K93" i="4" s="1"/>
  <c r="K15" i="4"/>
  <c r="K23" i="4" s="1"/>
  <c r="K58" i="4" s="1"/>
  <c r="O58" i="4" s="1"/>
  <c r="S48" i="1"/>
  <c r="C82" i="1"/>
  <c r="R23" i="1"/>
  <c r="B83" i="1"/>
  <c r="R40" i="1"/>
  <c r="S34" i="1"/>
  <c r="K40" i="1"/>
  <c r="S16" i="1"/>
  <c r="H32" i="1" l="1"/>
  <c r="C32" i="1" s="1"/>
  <c r="C10" i="1"/>
  <c r="K58" i="1"/>
  <c r="O58" i="1" s="1"/>
</calcChain>
</file>

<file path=xl/sharedStrings.xml><?xml version="1.0" encoding="utf-8"?>
<sst xmlns="http://schemas.openxmlformats.org/spreadsheetml/2006/main" count="7479" uniqueCount="135">
  <si>
    <t>Check Date</t>
  </si>
  <si>
    <t>Notes</t>
  </si>
  <si>
    <t>Period Ending</t>
  </si>
  <si>
    <t xml:space="preserve">   Total</t>
  </si>
  <si>
    <t>Account</t>
  </si>
  <si>
    <t>03</t>
  </si>
  <si>
    <t>02</t>
  </si>
  <si>
    <t>01</t>
  </si>
  <si>
    <t xml:space="preserve">   Payroll</t>
  </si>
  <si>
    <t>Number</t>
  </si>
  <si>
    <t>PBS</t>
  </si>
  <si>
    <t>Syracuse</t>
  </si>
  <si>
    <t>Rochester</t>
  </si>
  <si>
    <t>PAYCHEX - PAYROLL</t>
  </si>
  <si>
    <t>Gross Payroll</t>
  </si>
  <si>
    <t>Roc Salaries</t>
  </si>
  <si>
    <t>Commission</t>
  </si>
  <si>
    <t>Roc Commission</t>
  </si>
  <si>
    <t>Bonus</t>
  </si>
  <si>
    <t>Roc Bonus</t>
  </si>
  <si>
    <t>EXP REIMB - Oth</t>
  </si>
  <si>
    <t>Employer Portion Of payroll taxes</t>
  </si>
  <si>
    <t>Soc Sec W/H</t>
  </si>
  <si>
    <t>Cell Phone Reimbursement</t>
  </si>
  <si>
    <t>Med W/H</t>
  </si>
  <si>
    <t>Worker's Comp</t>
  </si>
  <si>
    <t>FED W/H</t>
  </si>
  <si>
    <t>401K Safe Harbor</t>
  </si>
  <si>
    <t>State W/h</t>
  </si>
  <si>
    <t>Misc Reimbursement</t>
  </si>
  <si>
    <t>NYDBL</t>
  </si>
  <si>
    <t>XXXXX</t>
  </si>
  <si>
    <t>THIS SHOULD BE ZERO</t>
  </si>
  <si>
    <t>NY DISABILITY PFL</t>
  </si>
  <si>
    <t>NYS Disability PFL</t>
  </si>
  <si>
    <t>ACCIDENT</t>
  </si>
  <si>
    <t>EE Benefit Reimbursements</t>
  </si>
  <si>
    <t>CNCR INDEMNITY</t>
  </si>
  <si>
    <t>Postage</t>
  </si>
  <si>
    <t>GARNISHMENT</t>
  </si>
  <si>
    <t>Paychex Fees</t>
  </si>
  <si>
    <t>PACMPEECMP</t>
  </si>
  <si>
    <t>Store Open</t>
  </si>
  <si>
    <t>Pers DBL</t>
  </si>
  <si>
    <t>Phone Reimbursement</t>
  </si>
  <si>
    <t>PX401 EECUC</t>
    <phoneticPr fontId="0" type="noConversion"/>
  </si>
  <si>
    <t>Notes Receivable</t>
  </si>
  <si>
    <t>PX401 EEPRE</t>
  </si>
  <si>
    <t>PX401 LOAN</t>
    <phoneticPr fontId="0" type="noConversion"/>
  </si>
  <si>
    <t>PXSA EEMED &amp; DEP</t>
  </si>
  <si>
    <t>S125DEEDEN</t>
    <phoneticPr fontId="0" type="noConversion"/>
  </si>
  <si>
    <t>Syr Salaries</t>
  </si>
  <si>
    <t>S125MEECMP</t>
  </si>
  <si>
    <t>Syr Commission</t>
  </si>
  <si>
    <t xml:space="preserve">  </t>
  </si>
  <si>
    <t>VOL LIFE</t>
  </si>
  <si>
    <t>Syr Bonus</t>
  </si>
  <si>
    <t>Misc.</t>
  </si>
  <si>
    <t>STORE OPEN</t>
  </si>
  <si>
    <t>ADVANCE</t>
  </si>
  <si>
    <t>EFT amount</t>
  </si>
  <si>
    <t>PXROTH 401 EEPO</t>
  </si>
  <si>
    <t>xx</t>
  </si>
  <si>
    <t>xxxx</t>
  </si>
  <si>
    <t>PAYCHEX - TAXES</t>
  </si>
  <si>
    <t>Employee Tax Withholding</t>
  </si>
  <si>
    <t>Social Security</t>
  </si>
  <si>
    <t>Medicare</t>
  </si>
  <si>
    <t>Federal</t>
  </si>
  <si>
    <t>NY State</t>
  </si>
  <si>
    <t>Employer Tax Expenses</t>
  </si>
  <si>
    <t>Lyn Salaries</t>
  </si>
  <si>
    <t>FUTA</t>
  </si>
  <si>
    <t>Lyn Commission</t>
  </si>
  <si>
    <t>NY SUI</t>
  </si>
  <si>
    <t>Lyn Bonus</t>
  </si>
  <si>
    <t>NY Re-empl Svc</t>
  </si>
  <si>
    <t>PAYCHEX - 401(K)</t>
  </si>
  <si>
    <t>Employee Pre-Tax</t>
  </si>
  <si>
    <t>Vol Life</t>
  </si>
  <si>
    <t>PX401ERMAT-1</t>
  </si>
  <si>
    <t>Excellus Emp Portion</t>
  </si>
  <si>
    <t>Garnishment</t>
  </si>
  <si>
    <t xml:space="preserve">Payroll </t>
  </si>
  <si>
    <t>PXSA EEMED</t>
    <phoneticPr fontId="0" type="noConversion"/>
  </si>
  <si>
    <t>Roc Expense</t>
  </si>
  <si>
    <t>Travel</t>
  </si>
  <si>
    <t>Employee Benefit</t>
  </si>
  <si>
    <t>PAYCHEX - POSTAGE</t>
  </si>
  <si>
    <t>Telephone - Employee allocated</t>
  </si>
  <si>
    <t>Telephone - Employee</t>
  </si>
  <si>
    <t>Health Reimbursement</t>
  </si>
  <si>
    <t>Food - holiday party</t>
  </si>
  <si>
    <t>PAYCHEX - Administration Fees</t>
  </si>
  <si>
    <t>Admin Fees</t>
  </si>
  <si>
    <t xml:space="preserve"> </t>
  </si>
  <si>
    <t>Total EFT</t>
  </si>
  <si>
    <t>Syr Expense</t>
  </si>
  <si>
    <t>6020</t>
  </si>
  <si>
    <t>Net Pay</t>
  </si>
  <si>
    <t>Direct Deposit</t>
  </si>
  <si>
    <t>less: manual checks</t>
  </si>
  <si>
    <t>Deductions &amp; Adj</t>
  </si>
  <si>
    <t>XXXXX</t>
    <phoneticPr fontId="0" type="noConversion"/>
  </si>
  <si>
    <t>Grand Net Pay</t>
  </si>
  <si>
    <t>Difference</t>
  </si>
  <si>
    <t>Cash Requirements:</t>
  </si>
  <si>
    <t>6565</t>
  </si>
  <si>
    <t>tie out:</t>
  </si>
  <si>
    <t>1831</t>
  </si>
  <si>
    <t>Lyn Expense</t>
  </si>
  <si>
    <t>Health Reimbursement allocated</t>
  </si>
  <si>
    <t>Travel - allocated</t>
  </si>
  <si>
    <t xml:space="preserve">Travel </t>
  </si>
  <si>
    <t>January</t>
  </si>
  <si>
    <t>February</t>
  </si>
  <si>
    <t>March</t>
  </si>
  <si>
    <t>Total</t>
  </si>
  <si>
    <t>SYR</t>
  </si>
  <si>
    <t>ROC</t>
  </si>
  <si>
    <t>EXP REIMB -6</t>
  </si>
  <si>
    <t>Employee Reimbursement</t>
  </si>
  <si>
    <t>Employee Benefits</t>
  </si>
  <si>
    <t>Cell Phone Reimb</t>
  </si>
  <si>
    <t>Telephone Local</t>
  </si>
  <si>
    <t>Office Supplies</t>
  </si>
  <si>
    <t>Paper Shredder</t>
  </si>
  <si>
    <t>Gross payroll</t>
  </si>
  <si>
    <t>Roc Salary</t>
  </si>
  <si>
    <t>Lyn Salary</t>
  </si>
  <si>
    <t>Syr Salary</t>
  </si>
  <si>
    <t>Auto</t>
  </si>
  <si>
    <t>Travel - Exp Reimb 11</t>
  </si>
  <si>
    <t>Health Reimbursement (all other)</t>
  </si>
  <si>
    <t>PROCESSING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</si>
</sst>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mm/dd/yy"/>
    <numFmt numFmtId="165" formatCode="_(* #,##0.000_);_(* \(#,##0.000\);_(* &quot;-&quot;???_);_(@_)"/>
    <numFmt numFmtId="166" formatCode="_(* #,##0.00_);_(* \(#,##0.00\);_(* &quot;-&quot;???_);_(@_)"/>
    <numFmt numFmtId="167" formatCode="_-* #,##0.00_-;\-* #,##0.00_-;_-* &quot;-&quot;??_-;_-@_-"/>
    <numFmt numFmtId="168" formatCode="#,##0.00_ ;[Red]\-#,##0.00\ "/>
    <numFmt numFmtId="169" formatCode="_(* #,##0.0000_);_(* \(#,##0.0000\);_(* &quot;-&quot;??_);_(@_)"/>
    <numFmt numFmtId="170" formatCode="_(* #,##0.000_);_(* \(#,##0.000\);_(* &quot;-&quot;??_);_(@_)"/>
  </numFmts>
  <fonts count="10" x14ac:knownFonts="1">
    <font>
      <sz val="10"/>
      <name val="Verdana"/>
      <family val="2"/>
    </font>
    <font>
      <sz val="10"/>
      <name val="Verdana"/>
      <family val="2"/>
    </font>
    <font>
      <b/>
      <sz val="14"/>
      <name val="Verdana"/>
      <family val="2"/>
    </font>
    <font>
      <sz val="14"/>
      <name val="Verdana"/>
      <family val="2"/>
    </font>
    <font>
      <b/>
      <u/>
      <sz val="14"/>
      <name val="Verdana"/>
      <family val="2"/>
    </font>
    <font>
      <sz val="14"/>
      <color rgb="FFFF0000"/>
      <name val="Verdana"/>
      <family val="2"/>
    </font>
    <font>
      <b/>
      <sz val="10"/>
      <color rgb="FFFF0000"/>
      <name val="Verdana"/>
      <family val="2"/>
    </font>
    <font>
      <b/>
      <sz val="14"/>
      <color rgb="FFFF0000"/>
      <name val="Verdana"/>
      <family val="2"/>
    </font>
    <font>
      <sz val="16"/>
      <color rgb="FF000000"/>
      <name val="Times"/>
      <family val="2"/>
    </font>
    <font>
      <b/>
      <sz val="14"/>
      <color indexed="10"/>
      <name val="Verdana"/>
      <family val="2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0625"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gray0625">
        <bgColor rgb="FFFFFF00"/>
      </patternFill>
    </fill>
    <fill>
      <patternFill patternType="solid">
        <fgColor rgb="FFEAF2C6"/>
        <bgColor indexed="64"/>
      </patternFill>
    </fill>
    <fill>
      <patternFill patternType="solid">
        <fgColor rgb="FFF3F4D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D9D9"/>
        <bgColor rgb="FF000000"/>
      </patternFill>
    </fill>
    <fill>
      <patternFill patternType="gray0625">
        <fgColor rgb="FF000000"/>
        <bgColor rgb="FFCC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1">
    <xf numFmtId="0" fontId="0" fillId="0" borderId="0" xfId="0"/>
    <xf numFmtId="0" fontId="2" fillId="0" borderId="0" xfId="0" applyFont="1"/>
    <xf numFmtId="14" fontId="3" fillId="0" borderId="0" xfId="0" applyNumberFormat="1" applyFont="1" applyAlignment="1">
      <alignment horizontal="right"/>
    </xf>
    <xf numFmtId="43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/>
    <xf numFmtId="40" fontId="3" fillId="0" borderId="0" xfId="0" applyNumberFormat="1" applyFont="1"/>
    <xf numFmtId="0" fontId="2" fillId="0" borderId="0" xfId="0" applyFont="1" applyAlignment="1">
      <alignment horizontal="center"/>
    </xf>
    <xf numFmtId="164" fontId="2" fillId="0" borderId="1" xfId="0" applyNumberFormat="1" applyFont="1" applyBorder="1" applyAlignment="1" applyProtection="1">
      <alignment horizontal="center"/>
      <protection locked="0"/>
    </xf>
    <xf numFmtId="14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40" fontId="2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43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0" borderId="0" xfId="0" quotePrefix="1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0" fontId="4" fillId="0" borderId="0" xfId="0" applyNumberFormat="1" applyFont="1" applyAlignment="1">
      <alignment horizontal="center"/>
    </xf>
    <xf numFmtId="43" fontId="2" fillId="0" borderId="0" xfId="0" applyNumberFormat="1" applyFont="1"/>
    <xf numFmtId="1" fontId="4" fillId="0" borderId="0" xfId="0" applyNumberFormat="1" applyFont="1"/>
    <xf numFmtId="0" fontId="4" fillId="0" borderId="0" xfId="0" applyFont="1"/>
    <xf numFmtId="13" fontId="2" fillId="2" borderId="2" xfId="0" quotePrefix="1" applyNumberFormat="1" applyFont="1" applyFill="1" applyBorder="1" applyAlignment="1">
      <alignment horizontal="center"/>
    </xf>
    <xf numFmtId="0" fontId="2" fillId="0" borderId="3" xfId="0" applyFont="1" applyBorder="1"/>
    <xf numFmtId="43" fontId="3" fillId="3" borderId="4" xfId="0" applyNumberFormat="1" applyFont="1" applyFill="1" applyBorder="1" applyAlignment="1" applyProtection="1">
      <alignment horizontal="right"/>
      <protection locked="0"/>
    </xf>
    <xf numFmtId="43" fontId="3" fillId="4" borderId="0" xfId="0" applyNumberFormat="1" applyFont="1" applyFill="1" applyAlignment="1">
      <alignment horizontal="right"/>
    </xf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40" fontId="3" fillId="3" borderId="5" xfId="0" applyNumberFormat="1" applyFont="1" applyFill="1" applyBorder="1"/>
    <xf numFmtId="43" fontId="3" fillId="0" borderId="6" xfId="0" applyNumberFormat="1" applyFont="1" applyBorder="1"/>
    <xf numFmtId="43" fontId="3" fillId="0" borderId="0" xfId="0" applyNumberFormat="1" applyFont="1"/>
    <xf numFmtId="43" fontId="3" fillId="0" borderId="0" xfId="1" applyFont="1"/>
    <xf numFmtId="0" fontId="2" fillId="0" borderId="7" xfId="0" applyFont="1" applyBorder="1"/>
    <xf numFmtId="43" fontId="3" fillId="3" borderId="0" xfId="0" applyNumberFormat="1" applyFont="1" applyFill="1" applyAlignment="1" applyProtection="1">
      <alignment horizontal="right"/>
      <protection locked="0"/>
    </xf>
    <xf numFmtId="43" fontId="3" fillId="3" borderId="0" xfId="0" applyNumberFormat="1" applyFont="1" applyFill="1" applyProtection="1">
      <protection locked="0"/>
    </xf>
    <xf numFmtId="43" fontId="3" fillId="0" borderId="8" xfId="0" applyNumberFormat="1" applyFont="1" applyBorder="1"/>
    <xf numFmtId="43" fontId="3" fillId="3" borderId="0" xfId="0" applyNumberFormat="1" applyFont="1" applyFill="1" applyAlignment="1">
      <alignment horizontal="right"/>
    </xf>
    <xf numFmtId="0" fontId="3" fillId="0" borderId="7" xfId="0" applyFont="1" applyBorder="1"/>
    <xf numFmtId="43" fontId="3" fillId="3" borderId="9" xfId="0" applyNumberFormat="1" applyFont="1" applyFill="1" applyBorder="1" applyAlignment="1">
      <alignment horizontal="right"/>
    </xf>
    <xf numFmtId="39" fontId="3" fillId="0" borderId="10" xfId="0" applyNumberFormat="1" applyFont="1" applyBorder="1"/>
    <xf numFmtId="43" fontId="3" fillId="3" borderId="11" xfId="0" applyNumberFormat="1" applyFont="1" applyFill="1" applyBorder="1" applyAlignment="1">
      <alignment horizontal="right"/>
    </xf>
    <xf numFmtId="0" fontId="3" fillId="5" borderId="0" xfId="0" applyFont="1" applyFill="1"/>
    <xf numFmtId="39" fontId="3" fillId="3" borderId="12" xfId="0" applyNumberFormat="1" applyFont="1" applyFill="1" applyBorder="1"/>
    <xf numFmtId="1" fontId="2" fillId="6" borderId="0" xfId="0" applyNumberFormat="1" applyFont="1" applyFill="1" applyAlignment="1">
      <alignment horizontal="left"/>
    </xf>
    <xf numFmtId="0" fontId="2" fillId="6" borderId="0" xfId="0" applyFont="1" applyFill="1" applyAlignment="1">
      <alignment horizontal="left"/>
    </xf>
    <xf numFmtId="43" fontId="2" fillId="6" borderId="0" xfId="0" applyNumberFormat="1" applyFont="1" applyFill="1"/>
    <xf numFmtId="0" fontId="2" fillId="6" borderId="0" xfId="0" applyFont="1" applyFill="1"/>
    <xf numFmtId="0" fontId="3" fillId="6" borderId="0" xfId="0" applyFont="1" applyFill="1"/>
    <xf numFmtId="43" fontId="3" fillId="6" borderId="0" xfId="1" applyFont="1" applyFill="1"/>
    <xf numFmtId="43" fontId="3" fillId="3" borderId="13" xfId="0" applyNumberFormat="1" applyFont="1" applyFill="1" applyBorder="1" applyAlignment="1">
      <alignment horizontal="right"/>
    </xf>
    <xf numFmtId="1" fontId="2" fillId="0" borderId="0" xfId="0" applyNumberFormat="1" applyFont="1" applyAlignment="1">
      <alignment horizontal="left"/>
    </xf>
    <xf numFmtId="43" fontId="3" fillId="3" borderId="14" xfId="0" applyNumberFormat="1" applyFont="1" applyFill="1" applyBorder="1" applyAlignment="1">
      <alignment horizontal="right"/>
    </xf>
    <xf numFmtId="0" fontId="3" fillId="7" borderId="0" xfId="0" applyFont="1" applyFill="1" applyAlignment="1">
      <alignment horizontal="center"/>
    </xf>
    <xf numFmtId="43" fontId="3" fillId="0" borderId="12" xfId="0" applyNumberFormat="1" applyFont="1" applyBorder="1" applyProtection="1">
      <protection locked="0"/>
    </xf>
    <xf numFmtId="43" fontId="3" fillId="0" borderId="0" xfId="0" applyNumberFormat="1" applyFont="1" applyAlignment="1">
      <alignment horizontal="center"/>
    </xf>
    <xf numFmtId="43" fontId="3" fillId="3" borderId="15" xfId="0" applyNumberFormat="1" applyFont="1" applyFill="1" applyBorder="1" applyAlignment="1" applyProtection="1">
      <alignment horizontal="right"/>
      <protection locked="0"/>
    </xf>
    <xf numFmtId="165" fontId="3" fillId="0" borderId="0" xfId="0" applyNumberFormat="1" applyFont="1" applyAlignment="1">
      <alignment horizontal="center"/>
    </xf>
    <xf numFmtId="43" fontId="3" fillId="0" borderId="16" xfId="0" applyNumberFormat="1" applyFont="1" applyBorder="1"/>
    <xf numFmtId="43" fontId="2" fillId="0" borderId="17" xfId="1" applyFont="1" applyBorder="1"/>
    <xf numFmtId="1" fontId="4" fillId="0" borderId="0" xfId="0" applyNumberFormat="1" applyFont="1" applyAlignment="1">
      <alignment horizontal="right"/>
    </xf>
    <xf numFmtId="0" fontId="4" fillId="0" borderId="0" xfId="0" applyFont="1" applyAlignment="1">
      <alignment horizontal="left"/>
    </xf>
    <xf numFmtId="43" fontId="5" fillId="8" borderId="0" xfId="0" applyNumberFormat="1" applyFont="1" applyFill="1" applyAlignment="1">
      <alignment horizontal="right"/>
    </xf>
    <xf numFmtId="43" fontId="3" fillId="3" borderId="18" xfId="0" applyNumberFormat="1" applyFont="1" applyFill="1" applyBorder="1" applyAlignment="1" applyProtection="1">
      <alignment horizontal="right"/>
      <protection locked="0"/>
    </xf>
    <xf numFmtId="43" fontId="3" fillId="8" borderId="0" xfId="0" applyNumberFormat="1" applyFont="1" applyFill="1" applyAlignment="1">
      <alignment horizontal="right"/>
    </xf>
    <xf numFmtId="39" fontId="3" fillId="9" borderId="10" xfId="0" applyNumberFormat="1" applyFont="1" applyFill="1" applyBorder="1"/>
    <xf numFmtId="43" fontId="3" fillId="10" borderId="12" xfId="0" applyNumberFormat="1" applyFont="1" applyFill="1" applyBorder="1" applyProtection="1">
      <protection locked="0"/>
    </xf>
    <xf numFmtId="39" fontId="3" fillId="10" borderId="10" xfId="0" applyNumberFormat="1" applyFont="1" applyFill="1" applyBorder="1"/>
    <xf numFmtId="39" fontId="3" fillId="10" borderId="19" xfId="0" applyNumberFormat="1" applyFont="1" applyFill="1" applyBorder="1"/>
    <xf numFmtId="43" fontId="3" fillId="10" borderId="20" xfId="0" applyNumberFormat="1" applyFont="1" applyFill="1" applyBorder="1" applyProtection="1">
      <protection locked="0"/>
    </xf>
    <xf numFmtId="43" fontId="2" fillId="0" borderId="17" xfId="0" applyNumberFormat="1" applyFont="1" applyBorder="1"/>
    <xf numFmtId="43" fontId="6" fillId="0" borderId="17" xfId="0" applyNumberFormat="1" applyFont="1" applyBorder="1"/>
    <xf numFmtId="0" fontId="2" fillId="0" borderId="21" xfId="0" applyFont="1" applyBorder="1"/>
    <xf numFmtId="43" fontId="3" fillId="0" borderId="22" xfId="0" applyNumberFormat="1" applyFont="1" applyBorder="1" applyAlignment="1">
      <alignment horizontal="right"/>
    </xf>
    <xf numFmtId="0" fontId="3" fillId="0" borderId="22" xfId="0" applyFont="1" applyBorder="1" applyAlignment="1">
      <alignment horizontal="center"/>
    </xf>
    <xf numFmtId="0" fontId="3" fillId="0" borderId="22" xfId="0" applyFont="1" applyBorder="1"/>
    <xf numFmtId="40" fontId="3" fillId="0" borderId="22" xfId="0" applyNumberFormat="1" applyFont="1" applyBorder="1"/>
    <xf numFmtId="43" fontId="3" fillId="0" borderId="22" xfId="0" applyNumberFormat="1" applyFont="1" applyBorder="1"/>
    <xf numFmtId="43" fontId="3" fillId="0" borderId="23" xfId="0" applyNumberFormat="1" applyFont="1" applyBorder="1"/>
    <xf numFmtId="43" fontId="3" fillId="0" borderId="4" xfId="0" applyNumberFormat="1" applyFont="1" applyBorder="1" applyAlignment="1" applyProtection="1">
      <alignment horizontal="right"/>
      <protection locked="0"/>
    </xf>
    <xf numFmtId="40" fontId="3" fillId="0" borderId="4" xfId="0" applyNumberFormat="1" applyFont="1" applyBorder="1"/>
    <xf numFmtId="165" fontId="3" fillId="0" borderId="0" xfId="0" applyNumberFormat="1" applyFont="1"/>
    <xf numFmtId="43" fontId="3" fillId="0" borderId="0" xfId="0" applyNumberFormat="1" applyFont="1" applyAlignment="1" applyProtection="1">
      <alignment horizontal="right"/>
      <protection locked="0"/>
    </xf>
    <xf numFmtId="166" fontId="3" fillId="0" borderId="0" xfId="0" applyNumberFormat="1" applyFont="1"/>
    <xf numFmtId="1" fontId="3" fillId="0" borderId="0" xfId="0" applyNumberFormat="1" applyFont="1"/>
    <xf numFmtId="43" fontId="3" fillId="0" borderId="17" xfId="0" applyNumberFormat="1" applyFont="1" applyBorder="1"/>
    <xf numFmtId="0" fontId="4" fillId="0" borderId="7" xfId="0" applyFont="1" applyBorder="1"/>
    <xf numFmtId="43" fontId="3" fillId="0" borderId="0" xfId="0" applyNumberFormat="1" applyFont="1" applyProtection="1">
      <protection locked="0"/>
    </xf>
    <xf numFmtId="43" fontId="3" fillId="3" borderId="24" xfId="0" applyNumberFormat="1" applyFont="1" applyFill="1" applyBorder="1" applyAlignment="1" applyProtection="1">
      <alignment horizontal="right"/>
      <protection locked="0"/>
    </xf>
    <xf numFmtId="40" fontId="3" fillId="3" borderId="25" xfId="0" applyNumberFormat="1" applyFont="1" applyFill="1" applyBorder="1"/>
    <xf numFmtId="167" fontId="3" fillId="3" borderId="26" xfId="0" applyNumberFormat="1" applyFont="1" applyFill="1" applyBorder="1" applyProtection="1">
      <protection locked="0"/>
    </xf>
    <xf numFmtId="167" fontId="3" fillId="0" borderId="0" xfId="0" applyNumberFormat="1" applyFont="1"/>
    <xf numFmtId="40" fontId="3" fillId="3" borderId="10" xfId="0" applyNumberFormat="1" applyFont="1" applyFill="1" applyBorder="1"/>
    <xf numFmtId="167" fontId="3" fillId="3" borderId="12" xfId="0" applyNumberFormat="1" applyFont="1" applyFill="1" applyBorder="1" applyProtection="1">
      <protection locked="0"/>
    </xf>
    <xf numFmtId="40" fontId="3" fillId="3" borderId="27" xfId="0" applyNumberFormat="1" applyFont="1" applyFill="1" applyBorder="1"/>
    <xf numFmtId="167" fontId="3" fillId="3" borderId="28" xfId="0" applyNumberFormat="1" applyFont="1" applyFill="1" applyBorder="1" applyProtection="1">
      <protection locked="0"/>
    </xf>
    <xf numFmtId="43" fontId="2" fillId="11" borderId="29" xfId="0" applyNumberFormat="1" applyFont="1" applyFill="1" applyBorder="1"/>
    <xf numFmtId="43" fontId="2" fillId="0" borderId="29" xfId="0" applyNumberFormat="1" applyFont="1" applyBorder="1" applyAlignment="1">
      <alignment horizontal="right"/>
    </xf>
    <xf numFmtId="43" fontId="2" fillId="0" borderId="22" xfId="0" applyNumberFormat="1" applyFont="1" applyBorder="1" applyAlignment="1">
      <alignment horizontal="right"/>
    </xf>
    <xf numFmtId="0" fontId="2" fillId="0" borderId="22" xfId="0" applyFont="1" applyBorder="1" applyAlignment="1">
      <alignment horizontal="center"/>
    </xf>
    <xf numFmtId="0" fontId="2" fillId="0" borderId="22" xfId="0" applyFont="1" applyBorder="1"/>
    <xf numFmtId="40" fontId="2" fillId="0" borderId="22" xfId="0" applyNumberFormat="1" applyFont="1" applyBorder="1"/>
    <xf numFmtId="43" fontId="2" fillId="0" borderId="22" xfId="0" applyNumberFormat="1" applyFont="1" applyBorder="1"/>
    <xf numFmtId="43" fontId="2" fillId="0" borderId="23" xfId="0" applyNumberFormat="1" applyFont="1" applyBorder="1"/>
    <xf numFmtId="167" fontId="2" fillId="6" borderId="0" xfId="0" applyNumberFormat="1" applyFont="1" applyFill="1"/>
    <xf numFmtId="43" fontId="3" fillId="4" borderId="4" xfId="0" applyNumberFormat="1" applyFont="1" applyFill="1" applyBorder="1" applyAlignment="1">
      <alignment horizontal="right"/>
    </xf>
    <xf numFmtId="43" fontId="3" fillId="0" borderId="4" xfId="0" applyNumberFormat="1" applyFont="1" applyBorder="1" applyProtection="1">
      <protection locked="0"/>
    </xf>
    <xf numFmtId="43" fontId="2" fillId="0" borderId="16" xfId="0" applyNumberFormat="1" applyFont="1" applyBorder="1" applyAlignment="1" applyProtection="1">
      <alignment horizontal="right"/>
      <protection locked="0"/>
    </xf>
    <xf numFmtId="43" fontId="2" fillId="0" borderId="0" xfId="0" applyNumberFormat="1" applyFont="1" applyAlignment="1" applyProtection="1">
      <alignment horizontal="right"/>
      <protection locked="0"/>
    </xf>
    <xf numFmtId="43" fontId="3" fillId="12" borderId="30" xfId="0" applyNumberFormat="1" applyFont="1" applyFill="1" applyBorder="1" applyAlignment="1" applyProtection="1">
      <alignment horizontal="right"/>
      <protection locked="0"/>
    </xf>
    <xf numFmtId="43" fontId="3" fillId="13" borderId="0" xfId="0" applyNumberFormat="1" applyFont="1" applyFill="1" applyAlignment="1">
      <alignment horizontal="right"/>
    </xf>
    <xf numFmtId="43" fontId="3" fillId="12" borderId="0" xfId="0" applyNumberFormat="1" applyFont="1" applyFill="1" applyAlignment="1" applyProtection="1">
      <alignment horizontal="right"/>
      <protection locked="0"/>
    </xf>
    <xf numFmtId="165" fontId="2" fillId="0" borderId="17" xfId="0" applyNumberFormat="1" applyFont="1" applyBorder="1"/>
    <xf numFmtId="43" fontId="2" fillId="0" borderId="0" xfId="1" applyFont="1"/>
    <xf numFmtId="1" fontId="3" fillId="0" borderId="7" xfId="0" applyNumberFormat="1" applyFont="1" applyBorder="1"/>
    <xf numFmtId="43" fontId="2" fillId="0" borderId="17" xfId="0" applyNumberFormat="1" applyFont="1" applyBorder="1" applyAlignment="1">
      <alignment horizontal="right"/>
    </xf>
    <xf numFmtId="43" fontId="2" fillId="4" borderId="0" xfId="0" applyNumberFormat="1" applyFont="1" applyFill="1" applyAlignment="1">
      <alignment horizontal="right"/>
    </xf>
    <xf numFmtId="43" fontId="2" fillId="0" borderId="31" xfId="0" applyNumberFormat="1" applyFont="1" applyBorder="1"/>
    <xf numFmtId="49" fontId="3" fillId="0" borderId="0" xfId="0" applyNumberFormat="1" applyFont="1" applyAlignment="1">
      <alignment horizontal="right"/>
    </xf>
    <xf numFmtId="40" fontId="3" fillId="3" borderId="30" xfId="0" applyNumberFormat="1" applyFont="1" applyFill="1" applyBorder="1"/>
    <xf numFmtId="0" fontId="7" fillId="0" borderId="0" xfId="0" applyFont="1"/>
    <xf numFmtId="9" fontId="3" fillId="0" borderId="0" xfId="0" applyNumberFormat="1" applyFont="1" applyAlignment="1">
      <alignment horizontal="center"/>
    </xf>
    <xf numFmtId="10" fontId="3" fillId="0" borderId="0" xfId="0" applyNumberFormat="1" applyFont="1"/>
    <xf numFmtId="10" fontId="3" fillId="0" borderId="0" xfId="0" applyNumberFormat="1" applyFont="1" applyAlignment="1">
      <alignment horizontal="center"/>
    </xf>
    <xf numFmtId="40" fontId="8" fillId="0" borderId="0" xfId="0" applyNumberFormat="1" applyFont="1"/>
    <xf numFmtId="40" fontId="3" fillId="3" borderId="32" xfId="0" applyNumberFormat="1" applyFont="1" applyFill="1" applyBorder="1"/>
    <xf numFmtId="40" fontId="3" fillId="3" borderId="0" xfId="0" applyNumberFormat="1" applyFont="1" applyFill="1"/>
    <xf numFmtId="43" fontId="2" fillId="0" borderId="2" xfId="0" applyNumberFormat="1" applyFont="1" applyBorder="1" applyAlignment="1">
      <alignment horizontal="right"/>
    </xf>
    <xf numFmtId="40" fontId="2" fillId="0" borderId="0" xfId="0" applyNumberFormat="1" applyFont="1"/>
    <xf numFmtId="40" fontId="3" fillId="0" borderId="0" xfId="0" applyNumberFormat="1" applyFont="1" applyAlignment="1">
      <alignment horizontal="right"/>
    </xf>
    <xf numFmtId="40" fontId="3" fillId="0" borderId="0" xfId="0" applyNumberFormat="1" applyFont="1" applyAlignment="1">
      <alignment horizontal="center"/>
    </xf>
    <xf numFmtId="40" fontId="3" fillId="14" borderId="0" xfId="0" applyNumberFormat="1" applyFont="1" applyFill="1"/>
    <xf numFmtId="40" fontId="3" fillId="0" borderId="22" xfId="0" applyNumberFormat="1" applyFont="1" applyBorder="1" applyAlignment="1">
      <alignment horizontal="right"/>
    </xf>
    <xf numFmtId="40" fontId="9" fillId="0" borderId="0" xfId="0" applyNumberFormat="1" applyFont="1"/>
    <xf numFmtId="40" fontId="2" fillId="0" borderId="0" xfId="0" applyNumberFormat="1" applyFont="1" applyAlignment="1">
      <alignment horizontal="right"/>
    </xf>
    <xf numFmtId="168" fontId="3" fillId="0" borderId="0" xfId="0" applyNumberFormat="1" applyFont="1"/>
    <xf numFmtId="167" fontId="2" fillId="0" borderId="2" xfId="0" applyNumberFormat="1" applyFont="1" applyBorder="1"/>
    <xf numFmtId="40" fontId="3" fillId="3" borderId="33" xfId="0" applyNumberFormat="1" applyFont="1" applyFill="1" applyBorder="1"/>
    <xf numFmtId="38" fontId="3" fillId="0" borderId="0" xfId="0" applyNumberFormat="1" applyFont="1"/>
    <xf numFmtId="40" fontId="3" fillId="0" borderId="34" xfId="0" applyNumberFormat="1" applyFont="1" applyBorder="1"/>
    <xf numFmtId="43" fontId="0" fillId="0" borderId="0" xfId="1" applyFont="1"/>
    <xf numFmtId="14" fontId="2" fillId="0" borderId="0" xfId="0" applyNumberFormat="1" applyFont="1" applyAlignment="1">
      <alignment horizontal="center"/>
    </xf>
    <xf numFmtId="43" fontId="2" fillId="0" borderId="1" xfId="1" applyFont="1" applyBorder="1"/>
    <xf numFmtId="0" fontId="2" fillId="0" borderId="1" xfId="0" applyFont="1" applyBorder="1"/>
    <xf numFmtId="9" fontId="3" fillId="0" borderId="0" xfId="2" applyFont="1"/>
    <xf numFmtId="43" fontId="3" fillId="3" borderId="38" xfId="0" applyNumberFormat="1" applyFont="1" applyFill="1" applyBorder="1" applyProtection="1">
      <protection locked="0"/>
    </xf>
    <xf numFmtId="43" fontId="3" fillId="10" borderId="0" xfId="0" applyNumberFormat="1" applyFont="1" applyFill="1" applyAlignment="1" applyProtection="1">
      <alignment horizontal="right"/>
      <protection locked="0"/>
    </xf>
    <xf numFmtId="39" fontId="3" fillId="10" borderId="25" xfId="0" applyNumberFormat="1" applyFont="1" applyFill="1" applyBorder="1"/>
    <xf numFmtId="43" fontId="3" fillId="3" borderId="9" xfId="0" applyNumberFormat="1" applyFont="1" applyFill="1" applyBorder="1" applyAlignment="1" applyProtection="1">
      <alignment horizontal="right"/>
      <protection locked="0"/>
    </xf>
    <xf numFmtId="43" fontId="3" fillId="3" borderId="12" xfId="0" applyNumberFormat="1" applyFont="1" applyFill="1" applyBorder="1" applyProtection="1">
      <protection locked="0"/>
    </xf>
    <xf numFmtId="43" fontId="3" fillId="3" borderId="11" xfId="0" applyNumberFormat="1" applyFont="1" applyFill="1" applyBorder="1" applyAlignment="1" applyProtection="1">
      <alignment horizontal="right"/>
      <protection locked="0"/>
    </xf>
    <xf numFmtId="39" fontId="3" fillId="3" borderId="10" xfId="0" applyNumberFormat="1" applyFont="1" applyFill="1" applyBorder="1"/>
    <xf numFmtId="43" fontId="2" fillId="7" borderId="17" xfId="1" applyFont="1" applyFill="1" applyBorder="1"/>
    <xf numFmtId="43" fontId="2" fillId="15" borderId="17" xfId="1" applyFont="1" applyFill="1" applyBorder="1"/>
    <xf numFmtId="43" fontId="3" fillId="3" borderId="39" xfId="0" applyNumberFormat="1" applyFont="1" applyFill="1" applyBorder="1" applyAlignment="1" applyProtection="1">
      <alignment horizontal="right"/>
      <protection locked="0"/>
    </xf>
    <xf numFmtId="167" fontId="2" fillId="0" borderId="0" xfId="0" applyNumberFormat="1" applyFont="1"/>
    <xf numFmtId="40" fontId="2" fillId="3" borderId="10" xfId="0" applyNumberFormat="1" applyFont="1" applyFill="1" applyBorder="1"/>
    <xf numFmtId="40" fontId="2" fillId="3" borderId="30" xfId="0" applyNumberFormat="1" applyFont="1" applyFill="1" applyBorder="1"/>
    <xf numFmtId="43" fontId="3" fillId="3" borderId="40" xfId="0" applyNumberFormat="1" applyFont="1" applyFill="1" applyBorder="1" applyAlignment="1" applyProtection="1">
      <alignment horizontal="right"/>
      <protection locked="0"/>
    </xf>
    <xf numFmtId="0" fontId="3" fillId="0" borderId="0" xfId="0" applyFont="1" applyProtection="1">
      <protection locked="0"/>
    </xf>
    <xf numFmtId="0" fontId="0" fillId="0" borderId="0" xfId="1" applyNumberFormat="1" applyFont="1"/>
    <xf numFmtId="43" fontId="3" fillId="0" borderId="0" xfId="1" applyFont="1" applyFill="1"/>
    <xf numFmtId="40" fontId="3" fillId="0" borderId="30" xfId="0" applyNumberFormat="1" applyFont="1" applyFill="1" applyBorder="1"/>
    <xf numFmtId="0" fontId="3" fillId="0" borderId="0" xfId="0" applyFont="1" applyFill="1"/>
    <xf numFmtId="43" fontId="0" fillId="0" borderId="0" xfId="1" applyNumberFormat="1" applyFont="1"/>
    <xf numFmtId="169" fontId="0" fillId="0" borderId="0" xfId="1" applyNumberFormat="1" applyFont="1"/>
    <xf numFmtId="0" fontId="3" fillId="0" borderId="0" xfId="0" applyNumberFormat="1" applyFont="1" applyAlignment="1">
      <alignment horizontal="right"/>
    </xf>
    <xf numFmtId="43" fontId="3" fillId="3" borderId="14" xfId="0" applyNumberFormat="1" applyFont="1" applyFill="1" applyBorder="1" applyAlignment="1" applyProtection="1">
      <alignment horizontal="right"/>
      <protection locked="0"/>
    </xf>
    <xf numFmtId="170" fontId="0" fillId="0" borderId="0" xfId="1" applyNumberFormat="1" applyFont="1"/>
    <xf numFmtId="43" fontId="3" fillId="12" borderId="32" xfId="0" applyNumberFormat="1" applyFont="1" applyFill="1" applyBorder="1" applyAlignment="1" applyProtection="1">
      <alignment horizontal="right"/>
      <protection locked="0"/>
    </xf>
    <xf numFmtId="43" fontId="3" fillId="3" borderId="0" xfId="0" applyNumberFormat="1" applyFont="1" applyFill="1" applyBorder="1" applyAlignment="1">
      <alignment horizontal="right"/>
    </xf>
    <xf numFmtId="0" fontId="3" fillId="9" borderId="10" xfId="0" applyNumberFormat="1" applyFont="1" applyFill="1" applyBorder="1" applyAlignment="1">
      <alignment horizontal="center"/>
    </xf>
    <xf numFmtId="0" fontId="3" fillId="4" borderId="0" xfId="0" applyNumberFormat="1" applyFont="1" applyFill="1" applyAlignment="1">
      <alignment horizontal="right"/>
    </xf>
    <xf numFmtId="0" fontId="5" fillId="8" borderId="0" xfId="0" applyNumberFormat="1" applyFont="1" applyFill="1" applyAlignment="1">
      <alignment horizontal="right"/>
    </xf>
    <xf numFmtId="0" fontId="3" fillId="8" borderId="0" xfId="0" applyNumberFormat="1" applyFont="1" applyFill="1" applyAlignment="1">
      <alignment horizontal="right"/>
    </xf>
    <xf numFmtId="43" fontId="2" fillId="0" borderId="35" xfId="1" applyFont="1" applyBorder="1" applyAlignment="1">
      <alignment horizontal="center"/>
    </xf>
    <xf numFmtId="43" fontId="2" fillId="0" borderId="36" xfId="1" applyFont="1" applyBorder="1" applyAlignment="1">
      <alignment horizontal="center"/>
    </xf>
    <xf numFmtId="43" fontId="2" fillId="0" borderId="37" xfId="1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36" xfId="0" applyFont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externalLink" Target="externalLinks/externalLink2.xml"/><Relationship Id="rId55" Type="http://schemas.openxmlformats.org/officeDocument/2006/relationships/externalLink" Target="externalLinks/externalLink7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6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externalLink" Target="externalLinks/externalLink5.xml"/><Relationship Id="rId58" Type="http://schemas.openxmlformats.org/officeDocument/2006/relationships/externalLink" Target="externalLinks/externalLink1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.xml"/><Relationship Id="rId57" Type="http://schemas.openxmlformats.org/officeDocument/2006/relationships/externalLink" Target="externalLinks/externalLink9.xml"/><Relationship Id="rId61" Type="http://schemas.openxmlformats.org/officeDocument/2006/relationships/externalLink" Target="externalLinks/externalLink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externalLink" Target="externalLinks/externalLink4.xml"/><Relationship Id="rId60" Type="http://schemas.openxmlformats.org/officeDocument/2006/relationships/externalLink" Target="externalLinks/externalLink12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externalLink" Target="externalLinks/externalLink8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1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1%20-%20ASSETS/1%20-%20CASH/0119%20Daily%20Bank%20Activit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1%20-%20ASSETS/1%20-%20CASH/0219%20Daily%20Bank%20Activ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1%20-%20ASSETS/1%20-%20CASH/0319%20Daily%20Bank%20Activit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1%20-%20ASSETS/1%20-%20CASH/0419%20Daily%20Bank%20Activit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2019\1%20-%20ASSETS\1%20-%20CASH\Copy%20of%200419%20Daily%20Bank%20Activit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1%20-%20ASSETS/1%20-%20CASH/0519%20Daily%20Bank%20Activ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1%20-%20ASSETS/1%20-%20CASH/0619%20Daily%20Bank%20Activ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1%20-%20ASSETS/1%20-%20CASH/0719%20Daily%20Bank%20Activ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1%20-%20ASSETS/1%20-%20CASH/0819%20Daily%20Bank%20Activ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1%20-%20ASSETS/1%20-%20CASH/0919%20Daily%20Bank%20Activ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1%20-%20ASSETS/1%20-%20CASH/1019%20Daily%20Bank%20Activ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1%20-%20ASSETS/1%20-%20CASH/1119%20Daily%20Bank%20Activity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2019/1%20-%20ASSETS/1%20-%20CASH/1219%20Daily%20Bank%20Activ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2-CNB Checking"/>
      <sheetName val="1011-CNB Savings"/>
      <sheetName val="CNB LOC"/>
      <sheetName val="1010-M&amp;T Checking"/>
      <sheetName val="AMEX Transaction Details"/>
      <sheetName val="Recurring AMEX Charges"/>
    </sheetNames>
    <sheetDataSet>
      <sheetData sheetId="0">
        <row r="48">
          <cell r="F48">
            <v>47544.63</v>
          </cell>
        </row>
        <row r="68">
          <cell r="F68">
            <v>20243.32</v>
          </cell>
        </row>
        <row r="94">
          <cell r="F94">
            <v>52211.53</v>
          </cell>
        </row>
        <row r="95">
          <cell r="F95">
            <v>20319.849999999999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2-CNB Checking"/>
      <sheetName val="1011-CNB Savings"/>
      <sheetName val="CNB LOC"/>
      <sheetName val="1010-M&amp;T Checking"/>
      <sheetName val="AMEX Transaction Details"/>
      <sheetName val="Recurring AMEX Charges"/>
    </sheetNames>
    <sheetDataSet>
      <sheetData sheetId="0">
        <row r="30">
          <cell r="F30">
            <v>52998.71</v>
          </cell>
        </row>
        <row r="67">
          <cell r="F67">
            <v>3918.92</v>
          </cell>
        </row>
        <row r="96">
          <cell r="F96">
            <v>53898.46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2-CNB Checking"/>
      <sheetName val="1011-CNB Savings"/>
      <sheetName val="CNB LOC"/>
      <sheetName val="1010-M&amp;T Checking"/>
      <sheetName val="AMEX Transaction Details"/>
      <sheetName val="Recurring AMEX Charges"/>
    </sheetNames>
    <sheetDataSet>
      <sheetData sheetId="0">
        <row r="69">
          <cell r="F69">
            <v>8468.66</v>
          </cell>
        </row>
        <row r="70">
          <cell r="F70">
            <v>52082.6</v>
          </cell>
        </row>
        <row r="94">
          <cell r="F94">
            <v>1798.11</v>
          </cell>
        </row>
        <row r="117">
          <cell r="F117">
            <v>53064.81</v>
          </cell>
        </row>
        <row r="123">
          <cell r="F123">
            <v>5414.66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2-CNB Checking"/>
      <sheetName val="1011-CNB Savings"/>
      <sheetName val="CNB LOC"/>
      <sheetName val="1010-M&amp;T Checking"/>
      <sheetName val="AMEX Transaction Details"/>
      <sheetName val="Recurring AMEX Charges"/>
    </sheetNames>
    <sheetDataSet>
      <sheetData sheetId="0">
        <row r="22">
          <cell r="F22">
            <v>51493.72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2-CNB Checking"/>
      <sheetName val="1011-CNB Savings"/>
      <sheetName val="CNB LOC"/>
      <sheetName val="1010-M&amp;T Checking"/>
      <sheetName val="AMEX Transaction Details"/>
      <sheetName val="Recurring AMEX Charges"/>
    </sheetNames>
    <sheetDataSet>
      <sheetData sheetId="0">
        <row r="76">
          <cell r="F76">
            <v>49518.02</v>
          </cell>
        </row>
        <row r="77">
          <cell r="F77">
            <v>9226.2199999999993</v>
          </cell>
        </row>
        <row r="109">
          <cell r="F109">
            <v>115.51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2-CNB Checking"/>
      <sheetName val="1011-CNB Savings"/>
      <sheetName val="CNB LOC"/>
      <sheetName val="1010-M&amp;T Checking"/>
      <sheetName val="AMEX Transaction Details"/>
      <sheetName val="Recurring AMEX Charges"/>
    </sheetNames>
    <sheetDataSet>
      <sheetData sheetId="0">
        <row r="20">
          <cell r="F20">
            <v>51968.61</v>
          </cell>
        </row>
        <row r="53">
          <cell r="F53">
            <v>7556.75</v>
          </cell>
        </row>
        <row r="75">
          <cell r="F75">
            <v>4501.74</v>
          </cell>
        </row>
        <row r="77">
          <cell r="F77">
            <v>52388.85</v>
          </cell>
        </row>
        <row r="120">
          <cell r="F120">
            <v>50496.26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2-CNB Checking"/>
      <sheetName val="1011-CNB Savings"/>
      <sheetName val="CNB LOC"/>
      <sheetName val="1010-M&amp;T Checking"/>
      <sheetName val="AMEX Transaction Details"/>
      <sheetName val="Recurring AMEX Charges"/>
    </sheetNames>
    <sheetDataSet>
      <sheetData sheetId="0">
        <row r="49">
          <cell r="F49">
            <v>50555.45</v>
          </cell>
        </row>
        <row r="98">
          <cell r="F98">
            <v>50526.48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2-CNB Checking"/>
      <sheetName val="1011-CNB Savings"/>
      <sheetName val="CNB LOC"/>
      <sheetName val="1010-M&amp;T Checking"/>
      <sheetName val="AMEX Transaction Details"/>
      <sheetName val="Recurring AMEX Charges"/>
    </sheetNames>
    <sheetDataSet>
      <sheetData sheetId="0">
        <row r="13">
          <cell r="F13">
            <v>457.19</v>
          </cell>
        </row>
        <row r="20">
          <cell r="F20">
            <v>1297.04</v>
          </cell>
        </row>
        <row r="57">
          <cell r="F57">
            <v>49661.26</v>
          </cell>
        </row>
        <row r="96">
          <cell r="F96">
            <v>6123.65</v>
          </cell>
        </row>
        <row r="104">
          <cell r="F104">
            <v>46734.97</v>
          </cell>
        </row>
        <row r="114">
          <cell r="F114">
            <v>2071.7600000000002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2-CNB Checking"/>
      <sheetName val="1011-CNB Savings"/>
      <sheetName val="CNB LOC"/>
      <sheetName val="1010-M&amp;T Checking"/>
      <sheetName val="AMEX Transaction Details"/>
      <sheetName val="Sheet1"/>
      <sheetName val="Recurring AMEX Charges"/>
    </sheetNames>
    <sheetDataSet>
      <sheetData sheetId="0">
        <row r="32">
          <cell r="F32">
            <v>60475.72</v>
          </cell>
        </row>
        <row r="82">
          <cell r="F82">
            <v>31813.18</v>
          </cell>
        </row>
        <row r="93">
          <cell r="F93">
            <v>15189.2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2-CNB Checking"/>
      <sheetName val="1011-CNB Savings"/>
      <sheetName val="CNB LOC"/>
      <sheetName val="1010-M&amp;T Checking"/>
      <sheetName val="AMEX Transaction Details"/>
      <sheetName val="Recurring AMEX Charges"/>
    </sheetNames>
    <sheetDataSet>
      <sheetData sheetId="0">
        <row r="16">
          <cell r="F16">
            <v>52851.42</v>
          </cell>
        </row>
        <row r="48">
          <cell r="F48">
            <v>7469.88</v>
          </cell>
        </row>
        <row r="60">
          <cell r="F60">
            <v>51876.800000000003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2-CNB Checking"/>
      <sheetName val="1011-CNB Savings"/>
      <sheetName val="CNB LOC"/>
      <sheetName val="1010-M&amp;T Checking"/>
      <sheetName val="AMEX Transaction Details"/>
      <sheetName val="Recurring AMEX Charges"/>
      <sheetName val="TB"/>
    </sheetNames>
    <sheetDataSet>
      <sheetData sheetId="0">
        <row r="20">
          <cell r="F20">
            <v>50931.65</v>
          </cell>
        </row>
        <row r="55">
          <cell r="F55">
            <v>4835.55</v>
          </cell>
        </row>
        <row r="60">
          <cell r="F60">
            <v>51881.45</v>
          </cell>
        </row>
        <row r="78">
          <cell r="F78">
            <v>990.53</v>
          </cell>
        </row>
        <row r="113">
          <cell r="F113">
            <v>55231.59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2-CNB Checking"/>
      <sheetName val="1011-CNB Savings"/>
      <sheetName val="CNB LOC"/>
      <sheetName val="1010-M&amp;T Checking"/>
      <sheetName val="AMEX Transaction Details"/>
      <sheetName val="Recurring AMEX Charges"/>
      <sheetName val="TB"/>
    </sheetNames>
    <sheetDataSet>
      <sheetData sheetId="0">
        <row r="39">
          <cell r="F39">
            <v>8086.07</v>
          </cell>
        </row>
        <row r="47">
          <cell r="F47">
            <v>56561.4</v>
          </cell>
        </row>
        <row r="109">
          <cell r="F109">
            <v>52578.57</v>
          </cell>
        </row>
      </sheetData>
      <sheetData sheetId="1"/>
      <sheetData sheetId="2"/>
      <sheetData sheetId="3"/>
      <sheetData sheetId="4">
        <row r="10">
          <cell r="L10" t="str">
            <v>01</v>
          </cell>
        </row>
      </sheetData>
      <sheetData sheetId="5"/>
      <sheetData sheetId="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12-CNB Checking"/>
      <sheetName val="1011-CNB Savings"/>
      <sheetName val="CNB LOC"/>
      <sheetName val="1010-M&amp;T Checking"/>
      <sheetName val="AMEX Transaction Details"/>
      <sheetName val="Recurring AMEX Charges"/>
      <sheetName val="TB"/>
    </sheetNames>
    <sheetDataSet>
      <sheetData sheetId="0">
        <row r="36">
          <cell r="F36">
            <v>13127.31</v>
          </cell>
        </row>
        <row r="41">
          <cell r="E41">
            <v>1199.5999999999999</v>
          </cell>
        </row>
        <row r="52">
          <cell r="F52">
            <v>2615.3200000000002</v>
          </cell>
        </row>
        <row r="60">
          <cell r="F60">
            <v>879.74</v>
          </cell>
        </row>
        <row r="103">
          <cell r="F103">
            <v>59655.79</v>
          </cell>
        </row>
      </sheetData>
      <sheetData sheetId="1">
        <row r="202">
          <cell r="I202">
            <v>15375.02</v>
          </cell>
        </row>
      </sheetData>
      <sheetData sheetId="2">
        <row r="28">
          <cell r="H28">
            <v>629695.63</v>
          </cell>
        </row>
      </sheetData>
      <sheetData sheetId="3">
        <row r="50">
          <cell r="F50">
            <v>21429.98000000001</v>
          </cell>
        </row>
      </sheetData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2BEF0-4651-4B2A-B95A-13271C5BFFF0}">
  <sheetPr>
    <tabColor rgb="FF00B050"/>
    <pageSetUpPr fitToPage="1"/>
  </sheetPr>
  <dimension ref="A2:Z99"/>
  <sheetViews>
    <sheetView topLeftCell="A4" zoomScale="70" zoomScaleNormal="70" zoomScalePageLayoutView="70" workbookViewId="0">
      <selection activeCell="F26" sqref="F26:G26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4.2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hidden="1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43475</v>
      </c>
      <c r="K2" s="9"/>
      <c r="M2" s="5" t="s">
        <v>1</v>
      </c>
    </row>
    <row r="3" spans="1:19" x14ac:dyDescent="0.25">
      <c r="A3" s="10" t="s">
        <v>2</v>
      </c>
      <c r="B3" s="8">
        <v>43104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0.6</v>
      </c>
    </row>
    <row r="7" spans="1:19" x14ac:dyDescent="0.25">
      <c r="A7" s="25" t="s">
        <v>14</v>
      </c>
      <c r="B7" s="26">
        <v>42548.75</v>
      </c>
      <c r="C7" s="27">
        <f>B7-F7-G7-H7</f>
        <v>0</v>
      </c>
      <c r="D7" s="28">
        <v>6500</v>
      </c>
      <c r="E7" s="29"/>
      <c r="F7" s="30">
        <v>2672.05</v>
      </c>
      <c r="G7" s="30">
        <v>17737.86</v>
      </c>
      <c r="H7" s="31">
        <f t="shared" ref="H7:H31" si="0">B7-F7-G7</f>
        <v>22138.839999999997</v>
      </c>
      <c r="I7" s="12">
        <v>1</v>
      </c>
      <c r="J7" s="13">
        <v>6500</v>
      </c>
      <c r="K7" s="32">
        <f>H7</f>
        <v>22138.839999999997</v>
      </c>
      <c r="M7" s="5" t="s">
        <v>15</v>
      </c>
      <c r="P7" s="5">
        <v>1</v>
      </c>
      <c r="Q7" s="13">
        <v>6500</v>
      </c>
      <c r="R7" s="33">
        <f>+K7*$R$6</f>
        <v>13283.303999999998</v>
      </c>
      <c r="S7" s="32">
        <f>+K7+R7</f>
        <v>35422.143999999993</v>
      </c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788.35</v>
      </c>
      <c r="C10" s="27">
        <f t="shared" ref="C10:C32" si="1">B10-F10-G10-H10</f>
        <v>0</v>
      </c>
      <c r="D10" s="4">
        <v>6040</v>
      </c>
      <c r="F10" s="35"/>
      <c r="G10" s="36">
        <f>+K84</f>
        <v>156.76499999999999</v>
      </c>
      <c r="H10" s="37">
        <f t="shared" si="0"/>
        <v>631.58500000000004</v>
      </c>
      <c r="I10" s="12">
        <v>1</v>
      </c>
      <c r="J10" s="13">
        <v>6580</v>
      </c>
      <c r="K10" s="32">
        <f>ROUND($H$42+$H$43+$H$44+$H$45-$H$15+$H$46,2)</f>
        <v>2982.67</v>
      </c>
      <c r="M10" s="39" t="s">
        <v>21</v>
      </c>
      <c r="P10" s="5">
        <v>1</v>
      </c>
      <c r="Q10" s="13">
        <v>6580</v>
      </c>
      <c r="R10" s="33">
        <f>+K10*$R$6</f>
        <v>1789.6020000000001</v>
      </c>
      <c r="S10" s="32">
        <f>+K10+R10</f>
        <v>4772.2719999999999</v>
      </c>
    </row>
    <row r="11" spans="1:19" x14ac:dyDescent="0.25">
      <c r="A11" s="34" t="s">
        <v>22</v>
      </c>
      <c r="B11" s="40">
        <v>2483.91</v>
      </c>
      <c r="C11" s="27">
        <f t="shared" si="1"/>
        <v>0</v>
      </c>
      <c r="D11" s="4">
        <v>2100</v>
      </c>
      <c r="F11" s="41"/>
      <c r="G11" s="41"/>
      <c r="H11" s="37">
        <f t="shared" si="0"/>
        <v>2483.91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580.91999999999996</v>
      </c>
      <c r="C12" s="27">
        <f t="shared" si="1"/>
        <v>0</v>
      </c>
      <c r="D12" s="4">
        <v>2100</v>
      </c>
      <c r="F12" s="41"/>
      <c r="G12" s="41"/>
      <c r="H12" s="37">
        <f t="shared" si="0"/>
        <v>580.91999999999996</v>
      </c>
      <c r="I12" s="12">
        <v>1</v>
      </c>
      <c r="J12" s="13">
        <v>6570</v>
      </c>
      <c r="K12" s="32">
        <f>-H23+H51+H58</f>
        <v>212.54</v>
      </c>
      <c r="M12" s="5" t="s">
        <v>25</v>
      </c>
      <c r="P12" s="5">
        <v>1</v>
      </c>
      <c r="Q12" s="13">
        <v>6570</v>
      </c>
      <c r="R12" s="33">
        <f>+K12*R6</f>
        <v>127.52399999999999</v>
      </c>
      <c r="S12" s="32">
        <f>+K12+R12</f>
        <v>340.06399999999996</v>
      </c>
    </row>
    <row r="13" spans="1:19" x14ac:dyDescent="0.25">
      <c r="A13" s="34" t="s">
        <v>26</v>
      </c>
      <c r="B13" s="42">
        <v>2921.39</v>
      </c>
      <c r="C13" s="27">
        <f t="shared" si="1"/>
        <v>0</v>
      </c>
      <c r="D13" s="4">
        <v>2110</v>
      </c>
      <c r="F13" s="41"/>
      <c r="G13" s="41"/>
      <c r="H13" s="37">
        <f t="shared" si="0"/>
        <v>2921.39</v>
      </c>
      <c r="I13" s="12">
        <v>1</v>
      </c>
      <c r="J13" s="13">
        <v>6571</v>
      </c>
      <c r="K13" s="32">
        <f>ROUND(H55,2)</f>
        <v>1236.1500000000001</v>
      </c>
      <c r="M13" s="43" t="s">
        <v>27</v>
      </c>
      <c r="P13" s="5">
        <v>1</v>
      </c>
      <c r="Q13" s="13">
        <v>6571</v>
      </c>
      <c r="R13" s="33">
        <f>+K13*$R$6</f>
        <v>741.69</v>
      </c>
      <c r="S13" s="32">
        <f>+K13+R13</f>
        <v>1977.8400000000001</v>
      </c>
    </row>
    <row r="14" spans="1:19" x14ac:dyDescent="0.25">
      <c r="A14" s="34" t="s">
        <v>28</v>
      </c>
      <c r="B14" s="42">
        <v>1693.7</v>
      </c>
      <c r="C14" s="27">
        <f t="shared" si="1"/>
        <v>0</v>
      </c>
      <c r="D14" s="4">
        <v>2120</v>
      </c>
      <c r="F14" s="41"/>
      <c r="G14" s="41"/>
      <c r="H14" s="37">
        <f t="shared" si="0"/>
        <v>1693.7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24</v>
      </c>
      <c r="C15" s="27">
        <f t="shared" si="1"/>
        <v>0</v>
      </c>
      <c r="D15" s="4">
        <v>6580</v>
      </c>
      <c r="F15" s="44">
        <v>1.2</v>
      </c>
      <c r="G15" s="44">
        <v>7.2</v>
      </c>
      <c r="H15" s="37">
        <f t="shared" si="0"/>
        <v>15.600000000000001</v>
      </c>
      <c r="I15" s="45"/>
      <c r="J15" s="46" t="s">
        <v>31</v>
      </c>
      <c r="K15" s="47">
        <f>H10-K74</f>
        <v>-4.9999999999954525E-3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/>
    </row>
    <row r="16" spans="1:19" ht="18.75" thickBot="1" x14ac:dyDescent="0.3">
      <c r="A16" s="34" t="s">
        <v>33</v>
      </c>
      <c r="B16" s="51">
        <v>65.08</v>
      </c>
      <c r="C16" s="27">
        <f t="shared" si="1"/>
        <v>0</v>
      </c>
      <c r="D16" s="7">
        <v>2120</v>
      </c>
      <c r="F16" s="44">
        <v>1.84</v>
      </c>
      <c r="G16" s="44">
        <v>20.39</v>
      </c>
      <c r="H16" s="37">
        <f t="shared" si="0"/>
        <v>42.849999999999994</v>
      </c>
      <c r="I16" s="52">
        <v>1</v>
      </c>
      <c r="J16" s="10">
        <v>2120</v>
      </c>
      <c r="K16" s="21">
        <f>-H16</f>
        <v>-42.849999999999994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-25.709999999999997</v>
      </c>
      <c r="S16" s="32">
        <f>+K16+R16</f>
        <v>-68.559999999999988</v>
      </c>
    </row>
    <row r="17" spans="1:26" x14ac:dyDescent="0.25">
      <c r="A17" s="34" t="s">
        <v>35</v>
      </c>
      <c r="B17" s="53">
        <v>24</v>
      </c>
      <c r="C17" s="27">
        <f t="shared" si="1"/>
        <v>0</v>
      </c>
      <c r="D17" s="54">
        <v>1830</v>
      </c>
      <c r="F17" s="41"/>
      <c r="G17" s="55"/>
      <c r="H17" s="37">
        <f t="shared" si="0"/>
        <v>24</v>
      </c>
      <c r="I17" s="12">
        <v>1</v>
      </c>
      <c r="J17" s="13">
        <v>1830</v>
      </c>
      <c r="K17" s="56">
        <f>ROUND(-H20-H27-H17-H18-H21-H26-H28,2)</f>
        <v>-2298.8200000000002</v>
      </c>
      <c r="M17" s="5" t="s">
        <v>36</v>
      </c>
      <c r="P17" s="5">
        <v>1</v>
      </c>
      <c r="Q17" s="13">
        <v>1830</v>
      </c>
      <c r="R17" s="33">
        <f>+K17*$R$6</f>
        <v>-1379.2920000000001</v>
      </c>
      <c r="S17" s="32">
        <f>+K17+R17</f>
        <v>-3678.1120000000001</v>
      </c>
    </row>
    <row r="18" spans="1:26" x14ac:dyDescent="0.25">
      <c r="A18" s="34" t="s">
        <v>37</v>
      </c>
      <c r="B18" s="57">
        <v>59.88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0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57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285.89</v>
      </c>
      <c r="M19" s="5" t="s">
        <v>40</v>
      </c>
      <c r="P19" s="5">
        <v>1</v>
      </c>
      <c r="Q19" s="13">
        <v>6300</v>
      </c>
      <c r="R19" s="33">
        <f>+K19*$R$6</f>
        <v>171.53399999999999</v>
      </c>
      <c r="S19" s="32">
        <f>+K19+R19</f>
        <v>457.42399999999998</v>
      </c>
    </row>
    <row r="20" spans="1:26" x14ac:dyDescent="0.25">
      <c r="A20" s="34" t="s">
        <v>41</v>
      </c>
      <c r="B20" s="57">
        <v>1893.87</v>
      </c>
      <c r="C20" s="27">
        <f t="shared" si="1"/>
        <v>0</v>
      </c>
      <c r="D20" s="4">
        <v>1830</v>
      </c>
      <c r="F20" s="41"/>
      <c r="G20" s="44"/>
      <c r="H20" s="37">
        <f t="shared" si="0"/>
        <v>1893.87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57">
        <v>240.36</v>
      </c>
      <c r="C21" s="27">
        <f t="shared" si="1"/>
        <v>0</v>
      </c>
      <c r="D21" s="54">
        <v>1830</v>
      </c>
      <c r="F21" s="41"/>
      <c r="G21" s="44"/>
      <c r="H21" s="37">
        <f t="shared" si="0"/>
        <v>240.36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57">
        <v>692.31</v>
      </c>
      <c r="C22" s="27">
        <f t="shared" si="1"/>
        <v>0</v>
      </c>
      <c r="F22" s="41"/>
      <c r="G22" s="55"/>
      <c r="H22" s="37">
        <f t="shared" si="0"/>
        <v>692.31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57">
        <v>1706.29</v>
      </c>
      <c r="C23" s="27">
        <f t="shared" si="1"/>
        <v>0</v>
      </c>
      <c r="D23" s="4">
        <v>6570</v>
      </c>
      <c r="F23" s="44">
        <v>84.36</v>
      </c>
      <c r="G23" s="44">
        <v>53</v>
      </c>
      <c r="H23" s="37">
        <f t="shared" si="0"/>
        <v>1568.93</v>
      </c>
      <c r="I23" s="12"/>
      <c r="J23" s="13"/>
      <c r="K23" s="59">
        <f>SUM(K7:K22)</f>
        <v>24514.414999999997</v>
      </c>
      <c r="N23" s="1">
        <v>2040</v>
      </c>
      <c r="P23" s="5">
        <v>1</v>
      </c>
      <c r="Q23" s="13">
        <v>2040</v>
      </c>
      <c r="R23" s="60">
        <f>SUM(R7:R22)</f>
        <v>14708.652</v>
      </c>
      <c r="S23" s="6"/>
    </row>
    <row r="24" spans="1:26" ht="18.75" thickTop="1" x14ac:dyDescent="0.25">
      <c r="A24" s="34" t="s">
        <v>48</v>
      </c>
      <c r="B24" s="57">
        <v>409.58</v>
      </c>
      <c r="C24" s="27">
        <f t="shared" si="1"/>
        <v>0</v>
      </c>
      <c r="F24" s="41"/>
      <c r="G24" s="44">
        <v>88</v>
      </c>
      <c r="H24" s="37">
        <f t="shared" si="0"/>
        <v>321.58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57">
        <v>489.23</v>
      </c>
      <c r="C25" s="27">
        <f t="shared" si="1"/>
        <v>0</v>
      </c>
      <c r="F25" s="44">
        <v>101.92</v>
      </c>
      <c r="G25" s="44"/>
      <c r="H25" s="37">
        <f t="shared" si="0"/>
        <v>387.31</v>
      </c>
      <c r="I25" s="61">
        <v>2</v>
      </c>
      <c r="J25" s="62"/>
      <c r="K25" s="32"/>
      <c r="Q25" s="62"/>
      <c r="R25" s="33"/>
    </row>
    <row r="26" spans="1:26" x14ac:dyDescent="0.25">
      <c r="A26" s="34" t="s">
        <v>50</v>
      </c>
      <c r="B26" s="57">
        <v>78.58</v>
      </c>
      <c r="C26" s="27">
        <f t="shared" si="1"/>
        <v>0</v>
      </c>
      <c r="D26" s="54">
        <v>1830</v>
      </c>
      <c r="F26" s="41"/>
      <c r="G26" s="55"/>
      <c r="H26" s="37">
        <f t="shared" si="0"/>
        <v>78.58</v>
      </c>
      <c r="I26" s="12">
        <v>2</v>
      </c>
      <c r="J26" s="13">
        <v>6500</v>
      </c>
      <c r="K26" s="32">
        <f>G7</f>
        <v>17737.86</v>
      </c>
      <c r="M26" s="5" t="s">
        <v>51</v>
      </c>
      <c r="O26" s="32"/>
      <c r="P26" s="5">
        <v>2</v>
      </c>
      <c r="Q26" s="13">
        <v>6500</v>
      </c>
      <c r="R26" s="33">
        <f>+K26*R6</f>
        <v>10642.716</v>
      </c>
      <c r="S26" s="32">
        <f t="shared" ref="S26:S38" si="2">+K26+R26</f>
        <v>28380.576000000001</v>
      </c>
      <c r="X26" s="32"/>
    </row>
    <row r="27" spans="1:26" x14ac:dyDescent="0.25">
      <c r="A27" s="34" t="s">
        <v>52</v>
      </c>
      <c r="B27" s="57"/>
      <c r="C27" s="63">
        <f t="shared" si="1"/>
        <v>0</v>
      </c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>
        <f t="shared" si="2"/>
        <v>0</v>
      </c>
      <c r="Z27" s="5" t="s">
        <v>54</v>
      </c>
    </row>
    <row r="28" spans="1:26" ht="18.75" thickBot="1" x14ac:dyDescent="0.3">
      <c r="A28" s="34" t="s">
        <v>55</v>
      </c>
      <c r="B28" s="64">
        <v>91.13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62.009999999999991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>
        <f t="shared" si="2"/>
        <v>0</v>
      </c>
    </row>
    <row r="29" spans="1:26" x14ac:dyDescent="0.25">
      <c r="A29" s="34" t="s">
        <v>57</v>
      </c>
      <c r="B29" s="57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1407.63</v>
      </c>
      <c r="M29" s="39" t="s">
        <v>21</v>
      </c>
      <c r="P29" s="5">
        <v>2</v>
      </c>
      <c r="Q29" s="13">
        <v>6580</v>
      </c>
      <c r="R29" s="33">
        <f>+K29*R6</f>
        <v>844.57800000000009</v>
      </c>
      <c r="S29" s="32">
        <f t="shared" si="2"/>
        <v>2252.2080000000001</v>
      </c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>
        <f t="shared" si="2"/>
        <v>0</v>
      </c>
    </row>
    <row r="31" spans="1:26" x14ac:dyDescent="0.25">
      <c r="A31" s="34" t="s">
        <v>59</v>
      </c>
      <c r="B31" s="57"/>
      <c r="C31" s="27">
        <f t="shared" si="1"/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106.28</v>
      </c>
      <c r="M31" s="5" t="s">
        <v>25</v>
      </c>
      <c r="P31" s="5">
        <v>2</v>
      </c>
      <c r="Q31" s="13">
        <v>6570</v>
      </c>
      <c r="R31" s="33">
        <f>+K31*$R$6</f>
        <v>63.768000000000001</v>
      </c>
      <c r="S31" s="32">
        <f t="shared" si="2"/>
        <v>170.048</v>
      </c>
    </row>
    <row r="32" spans="1:26" ht="18.75" thickBot="1" x14ac:dyDescent="0.3">
      <c r="A32" s="34" t="s">
        <v>60</v>
      </c>
      <c r="B32" s="71">
        <f>B7+B8++B10-B11-B12-B13-B14-B15-B16-B19-B29-B20-B26-B25-B28-B17-B21-B18-B23-B22-B24+B30+B31</f>
        <v>29882.869999999995</v>
      </c>
      <c r="C32" s="72">
        <f t="shared" si="1"/>
        <v>0</v>
      </c>
      <c r="D32" s="71"/>
      <c r="E32" s="71"/>
      <c r="F32" s="71">
        <f t="shared" ref="F32:H32" si="3">F7+F8+F10-F11-F12-F13-F14-F15-F16-F19-F29-F20-F26-F25-F28-F17-F21-F18-F23-F22-F24+F30+F31</f>
        <v>2471.98</v>
      </c>
      <c r="G32" s="71">
        <f t="shared" si="3"/>
        <v>17647.785</v>
      </c>
      <c r="H32" s="71">
        <f t="shared" si="3"/>
        <v>9763.1049999999977</v>
      </c>
      <c r="I32" s="12">
        <v>2</v>
      </c>
      <c r="J32" s="13">
        <v>6571</v>
      </c>
      <c r="K32" s="32">
        <f>G55</f>
        <v>30.28</v>
      </c>
      <c r="M32" s="43" t="s">
        <v>27</v>
      </c>
      <c r="P32" s="5">
        <v>2</v>
      </c>
      <c r="Q32" s="13">
        <v>6571</v>
      </c>
      <c r="R32" s="33">
        <f>+K32*$R$6</f>
        <v>18.167999999999999</v>
      </c>
      <c r="S32" s="32">
        <f t="shared" si="2"/>
        <v>48.448</v>
      </c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>
        <f t="shared" si="2"/>
        <v>0</v>
      </c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/>
      <c r="S34" s="32">
        <f t="shared" si="2"/>
        <v>0</v>
      </c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-20.39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-12.234</v>
      </c>
      <c r="S35" s="32">
        <f t="shared" si="2"/>
        <v>-32.624000000000002</v>
      </c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-78.25</v>
      </c>
      <c r="M36" s="5" t="s">
        <v>36</v>
      </c>
      <c r="O36" s="1"/>
      <c r="P36" s="5">
        <v>2</v>
      </c>
      <c r="Q36" s="13">
        <v>1830</v>
      </c>
      <c r="R36" s="33">
        <f>+K36*$R$6</f>
        <v>-46.949999999999996</v>
      </c>
      <c r="S36" s="32">
        <f t="shared" si="2"/>
        <v>-125.19999999999999</v>
      </c>
    </row>
    <row r="37" spans="1:22" x14ac:dyDescent="0.25">
      <c r="A37" s="25" t="s">
        <v>66</v>
      </c>
      <c r="B37" s="80">
        <f>B11</f>
        <v>2483.91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2483.91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>
        <f t="shared" si="2"/>
        <v>0</v>
      </c>
      <c r="V37" s="32"/>
    </row>
    <row r="38" spans="1:22" x14ac:dyDescent="0.25">
      <c r="A38" s="34" t="s">
        <v>67</v>
      </c>
      <c r="B38" s="83">
        <f>B12</f>
        <v>580.91999999999996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580.91999999999996</v>
      </c>
      <c r="I38" s="12">
        <v>2</v>
      </c>
      <c r="J38" s="13">
        <v>6300</v>
      </c>
      <c r="K38" s="84">
        <f>ROUND(G70,2)</f>
        <v>142.94999999999999</v>
      </c>
      <c r="M38" s="5" t="s">
        <v>40</v>
      </c>
      <c r="O38" s="1"/>
      <c r="P38" s="5">
        <v>2</v>
      </c>
      <c r="Q38" s="13">
        <v>6300</v>
      </c>
      <c r="R38" s="33">
        <f>+K38*$R$6</f>
        <v>85.77</v>
      </c>
      <c r="S38" s="32">
        <f t="shared" si="2"/>
        <v>228.71999999999997</v>
      </c>
    </row>
    <row r="39" spans="1:22" x14ac:dyDescent="0.25">
      <c r="A39" s="34" t="s">
        <v>68</v>
      </c>
      <c r="B39" s="83">
        <f>B13</f>
        <v>2921.39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2921.39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1693.7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1693.7</v>
      </c>
      <c r="I40" s="85"/>
      <c r="K40" s="86">
        <f>SUM(K26:K39)</f>
        <v>19326.36</v>
      </c>
      <c r="N40" s="1">
        <v>2040</v>
      </c>
      <c r="O40" s="1"/>
      <c r="P40" s="5">
        <v>2</v>
      </c>
      <c r="Q40" s="5">
        <v>2040</v>
      </c>
      <c r="R40" s="86">
        <f>SUM(R26:R39)</f>
        <v>11595.815999999999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2483.92</v>
      </c>
      <c r="C42" s="27">
        <f>B42-F42-G42-H42</f>
        <v>0</v>
      </c>
      <c r="D42" s="4">
        <v>6580</v>
      </c>
      <c r="F42" s="90">
        <v>68.400000000000006</v>
      </c>
      <c r="G42" s="90">
        <v>772.62</v>
      </c>
      <c r="H42" s="37">
        <f>B42-F42-G42</f>
        <v>1642.9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580.91</v>
      </c>
      <c r="C43" s="27">
        <f>B43-F43-G43-H43</f>
        <v>0</v>
      </c>
      <c r="D43" s="4">
        <v>6580</v>
      </c>
      <c r="F43" s="90">
        <v>16</v>
      </c>
      <c r="G43" s="91">
        <v>180.7</v>
      </c>
      <c r="H43" s="37">
        <f>B43-F43-G43</f>
        <v>384.21</v>
      </c>
      <c r="I43" s="12">
        <v>3</v>
      </c>
      <c r="J43" s="13">
        <v>6500</v>
      </c>
      <c r="K43" s="92">
        <f>F7</f>
        <v>2672.05</v>
      </c>
      <c r="M43" s="5" t="s">
        <v>71</v>
      </c>
      <c r="O43" s="1"/>
      <c r="P43" s="5">
        <v>3</v>
      </c>
      <c r="Q43" s="13">
        <v>6500</v>
      </c>
      <c r="R43" s="33">
        <f>+K43*$R$6</f>
        <v>1603.23</v>
      </c>
      <c r="S43" s="32">
        <f>+K43+R43</f>
        <v>4275.2800000000007</v>
      </c>
    </row>
    <row r="44" spans="1:22" x14ac:dyDescent="0.25">
      <c r="A44" s="34" t="s">
        <v>72</v>
      </c>
      <c r="B44" s="89">
        <v>240.39</v>
      </c>
      <c r="C44" s="27">
        <f>B44-F44-G44-H44</f>
        <v>0</v>
      </c>
      <c r="D44" s="4">
        <v>6580</v>
      </c>
      <c r="F44" s="90">
        <v>6.62</v>
      </c>
      <c r="G44" s="91">
        <v>74.77</v>
      </c>
      <c r="H44" s="37">
        <f>B44-G44-F44</f>
        <v>159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1201.98</v>
      </c>
      <c r="C45" s="27">
        <f>B45-F45-G45-H45</f>
        <v>0</v>
      </c>
      <c r="D45" s="4">
        <v>6580</v>
      </c>
      <c r="F45" s="93">
        <v>34.04</v>
      </c>
      <c r="G45" s="94">
        <v>376.76</v>
      </c>
      <c r="H45" s="37">
        <f>B45-G45-F45</f>
        <v>791.18000000000006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31.86</v>
      </c>
      <c r="C46" s="27">
        <f>B46-F46-G46-H46</f>
        <v>0</v>
      </c>
      <c r="F46" s="95">
        <v>0.9</v>
      </c>
      <c r="G46" s="96">
        <v>9.98</v>
      </c>
      <c r="H46" s="37">
        <f>B46-G46-F46</f>
        <v>20.98</v>
      </c>
      <c r="I46" s="12">
        <v>3</v>
      </c>
      <c r="J46" s="13">
        <v>6580</v>
      </c>
      <c r="K46" s="32">
        <f>ROUND($F$42+$F$43+$F$44+$F$45-$F$15+$F$46,2)</f>
        <v>124.76</v>
      </c>
      <c r="M46" s="39" t="s">
        <v>21</v>
      </c>
      <c r="O46" s="1"/>
      <c r="P46" s="5">
        <v>3</v>
      </c>
      <c r="Q46" s="13">
        <v>6580</v>
      </c>
      <c r="R46" s="33">
        <f>+K46*$R$6</f>
        <v>74.855999999999995</v>
      </c>
      <c r="S46" s="32">
        <f>+K46+R46</f>
        <v>199.61599999999999</v>
      </c>
    </row>
    <row r="47" spans="1:22" ht="18.75" thickBot="1" x14ac:dyDescent="0.3">
      <c r="B47" s="97">
        <f>SUM(B42:B46)</f>
        <v>4539.0599999999995</v>
      </c>
      <c r="C47" s="27">
        <f>B48-F47-G47-H47</f>
        <v>0</v>
      </c>
      <c r="D47" s="7"/>
      <c r="E47" s="1"/>
      <c r="F47" s="97">
        <f>SUM(F37:F46)</f>
        <v>125.96000000000001</v>
      </c>
      <c r="G47" s="97">
        <f>SUM(G37:G46)</f>
        <v>1414.83</v>
      </c>
      <c r="H47" s="71">
        <f>SUM(H37:H46)</f>
        <v>10678.189999999999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12218.98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47.65</v>
      </c>
      <c r="M48" s="5" t="s">
        <v>40</v>
      </c>
      <c r="O48" s="1"/>
      <c r="P48" s="5">
        <v>3</v>
      </c>
      <c r="Q48" s="13">
        <v>6300</v>
      </c>
      <c r="R48" s="33">
        <f>+K48*$R$6</f>
        <v>28.59</v>
      </c>
      <c r="S48" s="32">
        <f>+K48+R48</f>
        <v>76.239999999999995</v>
      </c>
    </row>
    <row r="49" spans="1:26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6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-1.84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-1.1040000000000001</v>
      </c>
      <c r="S50" s="32">
        <f>+K50+R50</f>
        <v>-2.944</v>
      </c>
    </row>
    <row r="51" spans="1:26" x14ac:dyDescent="0.25">
      <c r="A51" s="25" t="s">
        <v>78</v>
      </c>
      <c r="B51" s="80">
        <f>B23</f>
        <v>1706.29</v>
      </c>
      <c r="C51" s="106"/>
      <c r="D51" s="28">
        <v>6570</v>
      </c>
      <c r="E51" s="29"/>
      <c r="F51" s="81">
        <f>F23</f>
        <v>84.36</v>
      </c>
      <c r="G51" s="107">
        <f>G23</f>
        <v>53</v>
      </c>
      <c r="H51" s="31">
        <f>B51-G51-F51</f>
        <v>1568.93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6" x14ac:dyDescent="0.25">
      <c r="A52" s="34" t="s">
        <v>45</v>
      </c>
      <c r="B52" s="83">
        <f>B22</f>
        <v>692.31</v>
      </c>
      <c r="C52" s="27"/>
      <c r="F52" s="6">
        <f>F22</f>
        <v>0</v>
      </c>
      <c r="G52" s="88">
        <f>G22</f>
        <v>0</v>
      </c>
      <c r="H52" s="37">
        <f>B52-F52-G52</f>
        <v>692.31</v>
      </c>
      <c r="I52" s="12">
        <v>3</v>
      </c>
      <c r="J52" s="13">
        <v>6570</v>
      </c>
      <c r="K52" s="32">
        <f>-$F$23+$F$51+$F$58</f>
        <v>35.43</v>
      </c>
      <c r="M52" s="5" t="s">
        <v>25</v>
      </c>
      <c r="O52" s="1"/>
      <c r="P52" s="5">
        <v>3</v>
      </c>
      <c r="Q52" s="13">
        <v>6570</v>
      </c>
      <c r="R52" s="33">
        <f>+K52</f>
        <v>35.43</v>
      </c>
      <c r="S52" s="32">
        <f>+K52+R52</f>
        <v>70.86</v>
      </c>
    </row>
    <row r="53" spans="1:26" x14ac:dyDescent="0.25">
      <c r="A53" s="34" t="s">
        <v>60</v>
      </c>
      <c r="B53" s="108">
        <f>SUM(B51:B52)</f>
        <v>2398.6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48.2</v>
      </c>
      <c r="M53" s="5" t="s">
        <v>27</v>
      </c>
      <c r="O53" s="1"/>
      <c r="P53" s="5">
        <v>3</v>
      </c>
      <c r="Q53" s="13">
        <v>6571</v>
      </c>
      <c r="R53" s="33">
        <f>+K53</f>
        <v>48.2</v>
      </c>
      <c r="S53" s="32">
        <f>+K53+R53</f>
        <v>96.4</v>
      </c>
    </row>
    <row r="54" spans="1:26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6" x14ac:dyDescent="0.25">
      <c r="A55" s="34" t="s">
        <v>80</v>
      </c>
      <c r="B55" s="110">
        <v>1314.63</v>
      </c>
      <c r="C55" s="111"/>
      <c r="D55" s="4">
        <v>6571</v>
      </c>
      <c r="F55" s="90">
        <v>48.2</v>
      </c>
      <c r="G55" s="91">
        <v>30.28</v>
      </c>
      <c r="H55" s="37">
        <f>B55-F55-G55</f>
        <v>1236.1500000000001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6" ht="18.75" thickBot="1" x14ac:dyDescent="0.3">
      <c r="A56" s="34" t="s">
        <v>61</v>
      </c>
      <c r="B56" s="112">
        <v>1654.54</v>
      </c>
      <c r="C56" s="111"/>
      <c r="D56" s="4">
        <v>6571</v>
      </c>
      <c r="F56" s="93"/>
      <c r="G56" s="93"/>
      <c r="H56" s="37">
        <f>B56-F56-G56</f>
        <v>1654.54</v>
      </c>
      <c r="I56" s="12"/>
      <c r="J56" s="13"/>
      <c r="K56" s="86">
        <f>SUM(K43:K55)</f>
        <v>2915.5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1789.202</v>
      </c>
    </row>
    <row r="57" spans="1:26" ht="18.75" thickTop="1" x14ac:dyDescent="0.25">
      <c r="A57" s="34" t="s">
        <v>82</v>
      </c>
      <c r="B57" s="83"/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6" ht="18.75" thickBot="1" x14ac:dyDescent="0.3">
      <c r="A58" s="34" t="s">
        <v>25</v>
      </c>
      <c r="B58" s="110">
        <v>354.25</v>
      </c>
      <c r="C58" s="111"/>
      <c r="D58" s="4">
        <v>6570</v>
      </c>
      <c r="F58" s="88">
        <f>ROUND(B58*10%,2)</f>
        <v>35.43</v>
      </c>
      <c r="G58" s="88">
        <f>ROUND(B58*30%,2)</f>
        <v>106.28</v>
      </c>
      <c r="H58" s="37">
        <f>ROUND(B58-F58-G58,2)</f>
        <v>212.54</v>
      </c>
      <c r="I58" s="52">
        <v>1</v>
      </c>
      <c r="J58" s="10">
        <v>1012</v>
      </c>
      <c r="K58" s="113">
        <f>-(K23+K40+K56+K74+K84+K90)-K59</f>
        <v>-47544.62999999999</v>
      </c>
      <c r="M58" s="1"/>
      <c r="N58" s="32">
        <f>+'[1]1012-CNB Checking'!$F$48</f>
        <v>47544.63</v>
      </c>
      <c r="O58" s="114">
        <f>+K58+N58</f>
        <v>0</v>
      </c>
      <c r="P58" s="32"/>
      <c r="R58" s="33"/>
      <c r="Z58" s="5">
        <f>22*0.5</f>
        <v>11</v>
      </c>
    </row>
    <row r="59" spans="1:26" ht="18.75" thickTop="1" x14ac:dyDescent="0.25">
      <c r="A59" s="34" t="s">
        <v>48</v>
      </c>
      <c r="B59" s="83">
        <f>B24</f>
        <v>409.58</v>
      </c>
      <c r="C59" s="27"/>
      <c r="F59" s="88">
        <f>F24</f>
        <v>0</v>
      </c>
      <c r="G59" s="88">
        <f>G24</f>
        <v>88</v>
      </c>
      <c r="H59" s="37">
        <f>B59-F59-G59</f>
        <v>321.58</v>
      </c>
      <c r="I59" s="52">
        <v>1</v>
      </c>
      <c r="J59" s="10"/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6" x14ac:dyDescent="0.25">
      <c r="A60" s="34" t="s">
        <v>84</v>
      </c>
      <c r="B60" s="83">
        <f>B25</f>
        <v>489.23</v>
      </c>
      <c r="C60" s="27"/>
      <c r="F60" s="88">
        <f>F25</f>
        <v>101.92</v>
      </c>
      <c r="G60" s="88">
        <f>G25</f>
        <v>0</v>
      </c>
      <c r="H60" s="37">
        <f>B60-F60-G60</f>
        <v>387.31</v>
      </c>
      <c r="I60" s="115" t="s">
        <v>85</v>
      </c>
      <c r="K60" s="32"/>
      <c r="O60" s="1"/>
      <c r="R60" s="33"/>
    </row>
    <row r="61" spans="1:26" ht="18.75" thickBot="1" x14ac:dyDescent="0.3">
      <c r="A61" s="34" t="s">
        <v>60</v>
      </c>
      <c r="B61" s="116">
        <f>B53+B59+B60+B55+B58+B57</f>
        <v>4966.29</v>
      </c>
      <c r="C61" s="117"/>
      <c r="D61" s="7"/>
      <c r="E61" s="1"/>
      <c r="F61" s="71">
        <f>F51+F55</f>
        <v>132.56</v>
      </c>
      <c r="G61" s="71">
        <f>G51+G55</f>
        <v>83.28</v>
      </c>
      <c r="H61" s="118">
        <f>B61-G61</f>
        <v>4883.01</v>
      </c>
      <c r="I61" s="115">
        <v>1</v>
      </c>
      <c r="J61" s="119">
        <v>1831</v>
      </c>
      <c r="K61" s="120">
        <f>425-85</f>
        <v>340</v>
      </c>
      <c r="M61" s="5" t="s">
        <v>42</v>
      </c>
      <c r="O61" s="121"/>
      <c r="P61" s="5">
        <v>1</v>
      </c>
      <c r="Q61" s="5">
        <v>1831</v>
      </c>
      <c r="R61" s="33"/>
      <c r="S61" s="32">
        <f t="shared" ref="S61:S67" si="4">+K61+R61</f>
        <v>340</v>
      </c>
    </row>
    <row r="62" spans="1:26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/>
      <c r="M62" s="5" t="s">
        <v>86</v>
      </c>
      <c r="O62" s="1"/>
      <c r="P62" s="5">
        <v>1</v>
      </c>
      <c r="Q62" s="5">
        <v>6551</v>
      </c>
      <c r="R62" s="33"/>
      <c r="S62" s="32">
        <f t="shared" si="4"/>
        <v>0</v>
      </c>
    </row>
    <row r="63" spans="1:26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5">
        <v>1</v>
      </c>
      <c r="Q63" s="5">
        <v>6551</v>
      </c>
      <c r="R63" s="33"/>
      <c r="S63" s="32">
        <f t="shared" si="4"/>
        <v>0</v>
      </c>
    </row>
    <row r="64" spans="1:26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5">
        <v>1</v>
      </c>
      <c r="Q64" s="5">
        <v>6630</v>
      </c>
      <c r="R64" s="33"/>
      <c r="S64" s="32">
        <f t="shared" si="4"/>
        <v>0</v>
      </c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>
        <f>11.54+23.08</f>
        <v>34.619999999999997</v>
      </c>
      <c r="M65" s="5" t="s">
        <v>90</v>
      </c>
      <c r="O65" s="1"/>
      <c r="P65" s="5">
        <v>1</v>
      </c>
      <c r="Q65" s="5">
        <v>6630</v>
      </c>
      <c r="R65" s="33"/>
      <c r="S65" s="32">
        <f t="shared" si="4"/>
        <v>34.619999999999997</v>
      </c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317.19-60.22</f>
        <v>256.97000000000003</v>
      </c>
      <c r="M66" s="5" t="s">
        <v>91</v>
      </c>
      <c r="O66" s="1"/>
      <c r="P66" s="5">
        <v>1</v>
      </c>
      <c r="Q66" s="5">
        <v>6565</v>
      </c>
      <c r="R66" s="33"/>
      <c r="S66" s="32">
        <f t="shared" si="4"/>
        <v>256.97000000000003</v>
      </c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5">
        <v>1</v>
      </c>
      <c r="Q67" s="5">
        <v>6560</v>
      </c>
      <c r="R67" s="33"/>
      <c r="S67" s="32">
        <f t="shared" si="4"/>
        <v>0</v>
      </c>
    </row>
    <row r="68" spans="1:20" x14ac:dyDescent="0.25">
      <c r="F68" s="6"/>
      <c r="I68" s="85"/>
      <c r="K68" s="120"/>
      <c r="O68" s="1"/>
      <c r="R68" s="33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33"/>
    </row>
    <row r="70" spans="1:20" x14ac:dyDescent="0.25">
      <c r="A70" s="25" t="s">
        <v>94</v>
      </c>
      <c r="B70" s="26">
        <f>454.95+1.54+20</f>
        <v>476.49</v>
      </c>
      <c r="C70" s="106"/>
      <c r="D70" s="28">
        <v>6300</v>
      </c>
      <c r="E70" s="29"/>
      <c r="F70" s="81">
        <f>B70*F69</f>
        <v>47.649000000000001</v>
      </c>
      <c r="G70" s="107">
        <f>B70*G69</f>
        <v>142.947</v>
      </c>
      <c r="H70" s="31">
        <f>B70*H69-0</f>
        <v>285.89400000000001</v>
      </c>
      <c r="I70" s="85"/>
      <c r="K70" s="120"/>
      <c r="O70" s="1"/>
      <c r="R70" s="33"/>
      <c r="T70" s="32"/>
    </row>
    <row r="71" spans="1:20" ht="21" thickBot="1" x14ac:dyDescent="0.35">
      <c r="A71" s="34" t="s">
        <v>60</v>
      </c>
      <c r="B71" s="116">
        <f>SUM(B70)</f>
        <v>476.49</v>
      </c>
      <c r="C71" s="117"/>
      <c r="D71" s="7"/>
      <c r="E71" s="1"/>
      <c r="F71" s="71">
        <f>F70</f>
        <v>47.649000000000001</v>
      </c>
      <c r="G71" s="71">
        <f>G70</f>
        <v>142.947</v>
      </c>
      <c r="H71" s="118">
        <f>H70</f>
        <v>285.89400000000001</v>
      </c>
      <c r="I71" s="85"/>
      <c r="J71" s="85"/>
      <c r="K71" s="120"/>
      <c r="M71" s="125"/>
      <c r="O71" s="1"/>
      <c r="R71" s="33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33"/>
    </row>
    <row r="73" spans="1:20" ht="18.75" thickBot="1" x14ac:dyDescent="0.3">
      <c r="F73" s="6"/>
      <c r="I73" s="85"/>
      <c r="K73" s="127"/>
      <c r="O73" s="1"/>
      <c r="R73" s="33"/>
    </row>
    <row r="74" spans="1:20" ht="18.75" thickBot="1" x14ac:dyDescent="0.3">
      <c r="A74" s="1" t="s">
        <v>96</v>
      </c>
      <c r="B74" s="128">
        <f>ROUND((B71+B66+B61+B48+B32),2)</f>
        <v>47544.63</v>
      </c>
      <c r="F74" s="6"/>
      <c r="I74" s="85" t="s">
        <v>97</v>
      </c>
      <c r="K74" s="129">
        <f>SUM(K61:K73)</f>
        <v>631.59</v>
      </c>
      <c r="O74" s="1"/>
      <c r="R74" s="33"/>
    </row>
    <row r="75" spans="1:20" ht="18.75" thickBot="1" x14ac:dyDescent="0.3">
      <c r="F75" s="6"/>
      <c r="I75" s="85">
        <v>2</v>
      </c>
      <c r="J75" s="119" t="s">
        <v>98</v>
      </c>
      <c r="K75" s="120"/>
      <c r="M75" s="5" t="s">
        <v>86</v>
      </c>
      <c r="O75" s="1"/>
      <c r="P75" s="5">
        <v>2</v>
      </c>
      <c r="Q75" s="119">
        <v>6551</v>
      </c>
      <c r="R75" s="33"/>
      <c r="S75" s="32">
        <f t="shared" ref="S75:S80" si="5">+K75+R75</f>
        <v>0</v>
      </c>
    </row>
    <row r="76" spans="1:20" x14ac:dyDescent="0.25">
      <c r="A76" s="129" t="s">
        <v>99</v>
      </c>
      <c r="B76" s="26">
        <v>28228.33</v>
      </c>
      <c r="C76" s="130"/>
      <c r="D76" s="131" t="s">
        <v>100</v>
      </c>
      <c r="E76" s="6"/>
      <c r="F76" s="6"/>
      <c r="G76" s="132">
        <v>28228.33</v>
      </c>
      <c r="H76" s="6"/>
      <c r="I76" s="85">
        <v>2</v>
      </c>
      <c r="J76" s="119">
        <v>1831</v>
      </c>
      <c r="K76" s="120">
        <v>85</v>
      </c>
      <c r="M76" s="5" t="s">
        <v>42</v>
      </c>
      <c r="O76" s="1"/>
      <c r="P76" s="5">
        <v>2</v>
      </c>
      <c r="Q76" s="119">
        <v>6551</v>
      </c>
      <c r="R76" s="33"/>
      <c r="S76" s="32">
        <f t="shared" si="5"/>
        <v>85</v>
      </c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>
        <v>11.54</v>
      </c>
      <c r="M77" s="5" t="s">
        <v>89</v>
      </c>
      <c r="O77" s="1"/>
      <c r="P77" s="5">
        <v>2</v>
      </c>
      <c r="Q77" s="5">
        <v>6630</v>
      </c>
      <c r="R77" s="33"/>
      <c r="S77" s="32">
        <f t="shared" si="5"/>
        <v>11.54</v>
      </c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60.225000000000001</v>
      </c>
      <c r="M78" s="5" t="s">
        <v>90</v>
      </c>
      <c r="O78" s="1"/>
      <c r="P78" s="5">
        <v>2</v>
      </c>
      <c r="Q78" s="5">
        <v>6630</v>
      </c>
      <c r="R78" s="33"/>
      <c r="S78" s="32">
        <f t="shared" si="5"/>
        <v>60.225000000000001</v>
      </c>
    </row>
    <row r="79" spans="1:20" ht="18.75" thickBot="1" x14ac:dyDescent="0.3">
      <c r="A79" s="134" t="s">
        <v>104</v>
      </c>
      <c r="B79" s="135">
        <f>ROUND(SUM(B76:B78),2)</f>
        <v>28228.33</v>
      </c>
      <c r="C79" s="130"/>
      <c r="D79" s="131"/>
      <c r="E79" s="6"/>
      <c r="F79" s="6"/>
      <c r="G79" s="129">
        <f>SUM(G76:G78)</f>
        <v>28228.33</v>
      </c>
      <c r="H79" s="6" t="s">
        <v>105</v>
      </c>
      <c r="I79" s="85">
        <v>2</v>
      </c>
      <c r="J79" s="5">
        <v>6551</v>
      </c>
      <c r="K79" s="120"/>
      <c r="M79" s="5" t="s">
        <v>91</v>
      </c>
      <c r="O79" s="1"/>
      <c r="P79" s="5">
        <v>2</v>
      </c>
      <c r="Q79" s="5">
        <v>6565</v>
      </c>
      <c r="R79" s="33"/>
      <c r="S79" s="32">
        <f t="shared" si="5"/>
        <v>0</v>
      </c>
    </row>
    <row r="80" spans="1:20" ht="18.75" thickBot="1" x14ac:dyDescent="0.3">
      <c r="A80" s="1" t="s">
        <v>106</v>
      </c>
      <c r="B80" s="26">
        <v>47068.14</v>
      </c>
      <c r="H80" s="128" t="str">
        <f>IF(B79-G79=0,"ok","NO")</f>
        <v>ok</v>
      </c>
      <c r="I80" s="85">
        <v>2</v>
      </c>
      <c r="J80" s="5">
        <v>6012</v>
      </c>
      <c r="K80" s="120"/>
      <c r="M80" s="5" t="s">
        <v>92</v>
      </c>
      <c r="O80" s="1"/>
      <c r="P80" s="5">
        <v>2</v>
      </c>
      <c r="Q80" s="119" t="s">
        <v>107</v>
      </c>
      <c r="R80" s="33"/>
      <c r="S80" s="32">
        <f t="shared" si="5"/>
        <v>0</v>
      </c>
    </row>
    <row r="81" spans="1:19" ht="18.75" thickBot="1" x14ac:dyDescent="0.3">
      <c r="A81" s="1" t="s">
        <v>94</v>
      </c>
      <c r="B81" s="3">
        <f>B66+B71</f>
        <v>476.49</v>
      </c>
      <c r="C81" s="1" t="s">
        <v>108</v>
      </c>
      <c r="G81" s="32">
        <f>+G79-B76</f>
        <v>0</v>
      </c>
      <c r="I81" s="85"/>
      <c r="J81" s="119"/>
      <c r="K81" s="127"/>
      <c r="O81" s="1"/>
      <c r="P81" s="5">
        <v>2</v>
      </c>
      <c r="Q81" s="119" t="s">
        <v>109</v>
      </c>
      <c r="R81" s="33"/>
      <c r="S81" s="32">
        <f>+K83+R81</f>
        <v>0</v>
      </c>
    </row>
    <row r="82" spans="1:19" ht="18.75" thickBot="1" x14ac:dyDescent="0.3">
      <c r="B82" s="3">
        <f>+B80+B81</f>
        <v>47544.63</v>
      </c>
      <c r="C82" s="128" t="str">
        <f>IF(B74=B82,"ok","NO")</f>
        <v>ok</v>
      </c>
      <c r="F82" s="136"/>
      <c r="I82" s="85"/>
      <c r="J82" s="119"/>
      <c r="K82" s="127"/>
      <c r="O82" s="1"/>
      <c r="R82" s="33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</row>
    <row r="84" spans="1:19" x14ac:dyDescent="0.25">
      <c r="G84" s="32"/>
      <c r="I84" s="85"/>
      <c r="K84" s="129">
        <f>SUM(K75:K83)</f>
        <v>156.76499999999999</v>
      </c>
      <c r="O84" s="1"/>
      <c r="P84" s="5">
        <v>3</v>
      </c>
      <c r="Q84" s="5">
        <v>6551</v>
      </c>
      <c r="S84" s="32">
        <f>+K86+R84</f>
        <v>0</v>
      </c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5"/>
      <c r="S85" s="32">
        <f>+K87+R85</f>
        <v>0</v>
      </c>
    </row>
    <row r="86" spans="1:19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5"/>
      <c r="S86" s="32">
        <f>+K88+R86</f>
        <v>0</v>
      </c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112</v>
      </c>
      <c r="N88" s="5"/>
      <c r="O88" s="1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788.35500000000002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4.9999999999954525E-3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1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33AC-3DA3-47EC-9265-C0D25B405340}">
  <sheetPr>
    <tabColor rgb="FF00B0F0"/>
    <pageSetUpPr fitToPage="1"/>
  </sheetPr>
  <dimension ref="A2:Y99"/>
  <sheetViews>
    <sheetView zoomScale="70" zoomScaleNormal="70" zoomScalePageLayoutView="70" workbookViewId="0">
      <selection activeCell="I56" sqref="I6:K56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43482</v>
      </c>
      <c r="K2" s="9"/>
      <c r="M2" s="5" t="s">
        <v>1</v>
      </c>
    </row>
    <row r="3" spans="1:24" ht="18.75" thickBot="1" x14ac:dyDescent="0.3">
      <c r="A3" s="10" t="s">
        <v>2</v>
      </c>
      <c r="B3" s="8">
        <v>43465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26">
        <f>382+12940.75</f>
        <v>13322.75</v>
      </c>
      <c r="C7" s="27"/>
      <c r="D7" s="28"/>
      <c r="E7" s="29"/>
      <c r="F7" s="30">
        <v>1700</v>
      </c>
      <c r="G7" s="146">
        <f>182+7153.6</f>
        <v>7335.6</v>
      </c>
      <c r="H7" s="31">
        <f t="shared" ref="H7:H31" si="0">B7-F7-G7</f>
        <v>4287.1499999999996</v>
      </c>
      <c r="I7" s="12">
        <v>1</v>
      </c>
      <c r="J7" s="13">
        <v>6510</v>
      </c>
      <c r="K7" s="32">
        <f>+H7</f>
        <v>4287.1499999999996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>
        <v>4137.34</v>
      </c>
      <c r="C8" s="27"/>
      <c r="F8" s="127"/>
      <c r="G8" s="36">
        <v>2072.66</v>
      </c>
      <c r="H8" s="37">
        <f t="shared" si="0"/>
        <v>2064.6800000000003</v>
      </c>
      <c r="I8" s="12">
        <v>1</v>
      </c>
      <c r="J8" s="13">
        <v>6505</v>
      </c>
      <c r="K8" s="32">
        <f>+H8</f>
        <v>2064.6800000000003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ht="18.75" thickBot="1" x14ac:dyDescent="0.3">
      <c r="A9" s="34" t="s">
        <v>120</v>
      </c>
      <c r="B9" s="147"/>
      <c r="C9" s="27"/>
      <c r="F9" s="148"/>
      <c r="G9" s="148"/>
      <c r="H9" s="37">
        <f t="shared" si="0"/>
        <v>0</v>
      </c>
      <c r="I9" s="12">
        <v>1</v>
      </c>
      <c r="J9" s="13">
        <v>6500</v>
      </c>
      <c r="K9" s="32"/>
      <c r="L9" s="32"/>
      <c r="P9" s="1"/>
    </row>
    <row r="10" spans="1:24" x14ac:dyDescent="0.25">
      <c r="A10" s="34" t="s">
        <v>20</v>
      </c>
      <c r="B10" s="149"/>
      <c r="C10" s="27"/>
      <c r="F10" s="150"/>
      <c r="G10" s="150"/>
      <c r="H10" s="37">
        <f t="shared" si="0"/>
        <v>0</v>
      </c>
      <c r="I10" s="12">
        <v>1</v>
      </c>
      <c r="J10" s="13">
        <v>6580</v>
      </c>
      <c r="K10" s="32">
        <f>ROUND(H42+H43+H44+H45-H15+H46,2)</f>
        <v>716.59</v>
      </c>
      <c r="L10" s="145"/>
      <c r="M10" s="39" t="s">
        <v>21</v>
      </c>
      <c r="P10" s="1">
        <f>+J10</f>
        <v>6580</v>
      </c>
      <c r="Q10" s="33">
        <f>+Q8*L28</f>
        <v>0</v>
      </c>
      <c r="R10" s="33">
        <f>+R8*L10</f>
        <v>0</v>
      </c>
      <c r="S10" s="33">
        <f>+S8*L28</f>
        <v>0</v>
      </c>
      <c r="T10" s="33">
        <f>+T8*L10</f>
        <v>0</v>
      </c>
      <c r="U10" s="33">
        <f>+(U7+U8)*L28</f>
        <v>0</v>
      </c>
      <c r="V10" s="33">
        <f>+(V7+V8)*L10</f>
        <v>0</v>
      </c>
      <c r="W10" s="32">
        <f>+U10+S10+Q10</f>
        <v>0</v>
      </c>
      <c r="X10" s="32">
        <f>+V10+T10+R10</f>
        <v>0</v>
      </c>
    </row>
    <row r="11" spans="1:24" x14ac:dyDescent="0.25">
      <c r="A11" s="34" t="s">
        <v>22</v>
      </c>
      <c r="B11" s="151">
        <v>1082.53</v>
      </c>
      <c r="C11" s="27"/>
      <c r="F11" s="41"/>
      <c r="G11" s="41"/>
      <c r="H11" s="37">
        <f t="shared" si="0"/>
        <v>1082.53</v>
      </c>
      <c r="I11" s="12">
        <v>1</v>
      </c>
      <c r="J11" s="13">
        <v>6630</v>
      </c>
      <c r="K11" s="32">
        <f>ROUND(H9,2)</f>
        <v>0</v>
      </c>
      <c r="M11" s="39" t="s">
        <v>23</v>
      </c>
      <c r="P11" s="1"/>
    </row>
    <row r="12" spans="1:24" x14ac:dyDescent="0.25">
      <c r="A12" s="34" t="s">
        <v>24</v>
      </c>
      <c r="B12" s="151">
        <v>253.19</v>
      </c>
      <c r="C12" s="27"/>
      <c r="F12" s="41"/>
      <c r="G12" s="41"/>
      <c r="H12" s="37">
        <f t="shared" si="0"/>
        <v>253.19</v>
      </c>
      <c r="I12" s="12">
        <v>1</v>
      </c>
      <c r="J12" s="13">
        <v>6570</v>
      </c>
      <c r="K12" s="32">
        <f>-H23+H51+H58</f>
        <v>94.374756292779722</v>
      </c>
      <c r="L12" s="145"/>
      <c r="M12" s="5" t="s">
        <v>25</v>
      </c>
      <c r="P12" s="1">
        <f>+J12</f>
        <v>6570</v>
      </c>
      <c r="Q12" s="33">
        <f>+Q8*L30</f>
        <v>0</v>
      </c>
      <c r="R12" s="33">
        <f>+R8*L12</f>
        <v>0</v>
      </c>
      <c r="S12" s="33">
        <f>+S8*L30</f>
        <v>0</v>
      </c>
      <c r="T12" s="33">
        <f>+T8*L12</f>
        <v>0</v>
      </c>
      <c r="U12" s="33">
        <f>+(U7+U8)*L30</f>
        <v>0</v>
      </c>
      <c r="V12" s="33">
        <f>+(V7+V8)*L12</f>
        <v>0</v>
      </c>
      <c r="W12" s="32">
        <f>+U12+S12+Q12</f>
        <v>0</v>
      </c>
      <c r="X12" s="32">
        <f>+V12+T12+R12</f>
        <v>0</v>
      </c>
    </row>
    <row r="13" spans="1:24" x14ac:dyDescent="0.25">
      <c r="A13" s="34" t="s">
        <v>26</v>
      </c>
      <c r="B13" s="151"/>
      <c r="C13" s="27"/>
      <c r="F13" s="41"/>
      <c r="G13" s="41"/>
      <c r="H13" s="37">
        <f t="shared" si="0"/>
        <v>0</v>
      </c>
      <c r="I13" s="12">
        <v>1</v>
      </c>
      <c r="J13" s="13">
        <v>6571</v>
      </c>
      <c r="K13" s="32"/>
      <c r="M13" s="43" t="s">
        <v>27</v>
      </c>
      <c r="P13" s="1"/>
    </row>
    <row r="14" spans="1:24" x14ac:dyDescent="0.25">
      <c r="A14" s="34" t="s">
        <v>28</v>
      </c>
      <c r="B14" s="151"/>
      <c r="C14" s="27"/>
      <c r="F14" s="41"/>
      <c r="G14" s="41"/>
      <c r="H14" s="37">
        <f t="shared" si="0"/>
        <v>0</v>
      </c>
      <c r="I14" s="12">
        <v>1</v>
      </c>
      <c r="J14" s="13">
        <v>6571</v>
      </c>
      <c r="K14" s="32">
        <f>+H55</f>
        <v>227.64</v>
      </c>
      <c r="L14" s="145"/>
      <c r="M14" s="5" t="s">
        <v>61</v>
      </c>
      <c r="P14" s="1">
        <f>+J14</f>
        <v>6571</v>
      </c>
      <c r="Q14" s="33">
        <f>+Q8*L31</f>
        <v>0</v>
      </c>
      <c r="R14" s="33">
        <f>+R8*L14</f>
        <v>0</v>
      </c>
      <c r="S14" s="33">
        <f>+S8*L31</f>
        <v>0</v>
      </c>
      <c r="T14" s="33">
        <f>+T8*L14</f>
        <v>0</v>
      </c>
      <c r="U14" s="33">
        <f>+(U7+U8)*L31</f>
        <v>0</v>
      </c>
      <c r="V14" s="33">
        <f>+(V7+V8)*L14</f>
        <v>0</v>
      </c>
      <c r="W14" s="32">
        <f>+U14+S14+Q14</f>
        <v>0</v>
      </c>
      <c r="X14" s="32">
        <f>+V14+T14+R14</f>
        <v>0</v>
      </c>
    </row>
    <row r="15" spans="1:24" ht="18.75" thickBot="1" x14ac:dyDescent="0.3">
      <c r="A15" s="34" t="s">
        <v>30</v>
      </c>
      <c r="B15" s="151"/>
      <c r="C15" s="27"/>
      <c r="F15" s="152"/>
      <c r="G15" s="44"/>
      <c r="H15" s="37">
        <f t="shared" si="0"/>
        <v>0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48"/>
      <c r="Q15" s="153">
        <f>SUM(Q7:Q14)</f>
        <v>2018.41</v>
      </c>
      <c r="R15" s="153">
        <f t="shared" ref="R15:X15" si="1">SUM(R7:R14)</f>
        <v>779.02</v>
      </c>
      <c r="S15" s="154">
        <f t="shared" si="1"/>
        <v>944.95</v>
      </c>
      <c r="T15" s="154">
        <f t="shared" si="1"/>
        <v>348.52</v>
      </c>
      <c r="U15" s="154">
        <f t="shared" si="1"/>
        <v>1512.56</v>
      </c>
      <c r="V15" s="154">
        <f t="shared" si="1"/>
        <v>670.31999999999994</v>
      </c>
      <c r="W15" s="154">
        <f t="shared" si="1"/>
        <v>4475.92</v>
      </c>
      <c r="X15" s="154">
        <f t="shared" si="1"/>
        <v>1797.86</v>
      </c>
    </row>
    <row r="16" spans="1:24" ht="19.5" thickTop="1" thickBot="1" x14ac:dyDescent="0.3">
      <c r="A16" s="34" t="s">
        <v>33</v>
      </c>
      <c r="B16" s="151">
        <v>26.7</v>
      </c>
      <c r="C16" s="27"/>
      <c r="F16" s="152">
        <v>2.6</v>
      </c>
      <c r="G16" s="44">
        <v>14.38</v>
      </c>
      <c r="H16" s="37">
        <f t="shared" si="0"/>
        <v>9.7199999999999971</v>
      </c>
      <c r="I16" s="52">
        <v>1</v>
      </c>
      <c r="J16" s="10">
        <v>2120</v>
      </c>
      <c r="K16" s="21">
        <f>-H16</f>
        <v>-9.7199999999999971</v>
      </c>
      <c r="L16" s="1"/>
      <c r="M16" s="1" t="s">
        <v>34</v>
      </c>
      <c r="O16" s="1"/>
      <c r="P16" s="1"/>
    </row>
    <row r="17" spans="1:16" x14ac:dyDescent="0.25">
      <c r="A17" s="34" t="s">
        <v>35</v>
      </c>
      <c r="B17" s="155"/>
      <c r="C17" s="27"/>
      <c r="D17" s="54"/>
      <c r="F17" s="41"/>
      <c r="G17" s="55"/>
      <c r="H17" s="37">
        <f t="shared" si="0"/>
        <v>0</v>
      </c>
      <c r="I17" s="12">
        <v>1</v>
      </c>
      <c r="J17" s="13">
        <v>1830</v>
      </c>
      <c r="K17" s="32">
        <f>ROUND(-H20-H27-H17-H18-H21-H26-H28,2)</f>
        <v>0</v>
      </c>
      <c r="M17" s="5" t="s">
        <v>36</v>
      </c>
    </row>
    <row r="18" spans="1:16" x14ac:dyDescent="0.25">
      <c r="A18" s="34" t="s">
        <v>37</v>
      </c>
      <c r="B18" s="57"/>
      <c r="C18" s="27"/>
      <c r="D18" s="54"/>
      <c r="F18" s="41"/>
      <c r="G18" s="44"/>
      <c r="H18" s="37">
        <f t="shared" si="0"/>
        <v>0</v>
      </c>
      <c r="I18" s="12">
        <v>1</v>
      </c>
      <c r="J18" s="13">
        <v>6610</v>
      </c>
      <c r="K18" s="82">
        <f>ROUND(H66,2)</f>
        <v>0</v>
      </c>
      <c r="M18" s="5" t="s">
        <v>38</v>
      </c>
    </row>
    <row r="19" spans="1:16" x14ac:dyDescent="0.25">
      <c r="A19" s="34" t="s">
        <v>39</v>
      </c>
      <c r="B19" s="57"/>
      <c r="C19" s="27"/>
      <c r="F19" s="41"/>
      <c r="G19" s="55"/>
      <c r="H19" s="37">
        <f t="shared" si="0"/>
        <v>0</v>
      </c>
      <c r="I19" s="12">
        <v>1</v>
      </c>
      <c r="J19" s="13">
        <v>6300</v>
      </c>
      <c r="K19" s="82">
        <f>ROUND(H71,2)</f>
        <v>0</v>
      </c>
      <c r="M19" s="5" t="s">
        <v>40</v>
      </c>
    </row>
    <row r="20" spans="1:16" x14ac:dyDescent="0.25">
      <c r="A20" s="34" t="s">
        <v>41</v>
      </c>
      <c r="B20" s="57"/>
      <c r="C20" s="27"/>
      <c r="F20" s="41"/>
      <c r="G20" s="44"/>
      <c r="H20" s="37">
        <f t="shared" si="0"/>
        <v>0</v>
      </c>
      <c r="I20" s="12">
        <v>1</v>
      </c>
      <c r="J20" s="13">
        <v>6940</v>
      </c>
      <c r="K20" s="82">
        <f>H30</f>
        <v>0</v>
      </c>
      <c r="M20" s="5" t="s">
        <v>42</v>
      </c>
    </row>
    <row r="21" spans="1:16" x14ac:dyDescent="0.25">
      <c r="A21" s="34" t="s">
        <v>43</v>
      </c>
      <c r="B21" s="57"/>
      <c r="C21" s="27"/>
      <c r="D21" s="54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-H29</f>
        <v>0</v>
      </c>
      <c r="M21" s="5" t="s">
        <v>121</v>
      </c>
    </row>
    <row r="22" spans="1:16" x14ac:dyDescent="0.25">
      <c r="A22" s="34" t="s">
        <v>45</v>
      </c>
      <c r="B22" s="57"/>
      <c r="C22" s="27"/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</row>
    <row r="23" spans="1:16" x14ac:dyDescent="0.25">
      <c r="A23" s="34" t="s">
        <v>47</v>
      </c>
      <c r="B23" s="57">
        <v>880.28</v>
      </c>
      <c r="C23" s="27"/>
      <c r="F23" s="44">
        <v>119</v>
      </c>
      <c r="G23" s="44">
        <v>469</v>
      </c>
      <c r="H23" s="37">
        <f t="shared" si="0"/>
        <v>292.27999999999997</v>
      </c>
      <c r="I23" s="12"/>
      <c r="J23" s="13"/>
      <c r="K23" s="59">
        <f>SUM(K7:K22)</f>
        <v>7380.7147562927803</v>
      </c>
      <c r="N23" s="1">
        <v>2040</v>
      </c>
    </row>
    <row r="24" spans="1:16" x14ac:dyDescent="0.25">
      <c r="A24" s="34" t="s">
        <v>48</v>
      </c>
      <c r="B24" s="57"/>
      <c r="C24" s="27"/>
      <c r="F24" s="41"/>
      <c r="G24" s="44"/>
      <c r="H24" s="37">
        <f t="shared" si="0"/>
        <v>0</v>
      </c>
      <c r="I24" s="12"/>
      <c r="J24" s="13"/>
      <c r="K24" s="32"/>
    </row>
    <row r="25" spans="1:16" x14ac:dyDescent="0.25">
      <c r="A25" s="34" t="s">
        <v>49</v>
      </c>
      <c r="B25" s="57"/>
      <c r="C25" s="27"/>
      <c r="F25" s="44"/>
      <c r="G25" s="44"/>
      <c r="H25" s="37">
        <f t="shared" si="0"/>
        <v>0</v>
      </c>
      <c r="I25" s="61">
        <v>2</v>
      </c>
      <c r="J25" s="62"/>
      <c r="K25" s="32"/>
    </row>
    <row r="26" spans="1:16" x14ac:dyDescent="0.25">
      <c r="A26" s="34" t="s">
        <v>50</v>
      </c>
      <c r="B26" s="57"/>
      <c r="C26" s="27"/>
      <c r="D26" s="54"/>
      <c r="F26" s="41"/>
      <c r="G26" s="55"/>
      <c r="H26" s="37">
        <f t="shared" si="0"/>
        <v>0</v>
      </c>
      <c r="I26" s="12">
        <v>2</v>
      </c>
      <c r="J26" s="13">
        <v>6510</v>
      </c>
      <c r="K26" s="32">
        <f>+G7</f>
        <v>7335.6</v>
      </c>
      <c r="M26" s="5" t="s">
        <v>56</v>
      </c>
    </row>
    <row r="27" spans="1:16" x14ac:dyDescent="0.25">
      <c r="A27" s="34" t="s">
        <v>52</v>
      </c>
      <c r="B27" s="57"/>
      <c r="C27" s="63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2072.66</v>
      </c>
      <c r="L27" s="32"/>
      <c r="M27" s="5" t="s">
        <v>53</v>
      </c>
    </row>
    <row r="28" spans="1:16" ht="18.75" thickBot="1" x14ac:dyDescent="0.3">
      <c r="A28" s="34" t="s">
        <v>55</v>
      </c>
      <c r="B28" s="64"/>
      <c r="C28" s="27"/>
      <c r="D28" s="54"/>
      <c r="F28" s="41"/>
      <c r="G28" s="44"/>
      <c r="H28" s="37">
        <f t="shared" si="0"/>
        <v>0</v>
      </c>
      <c r="I28" s="12">
        <v>2</v>
      </c>
      <c r="J28" s="13">
        <v>6580</v>
      </c>
      <c r="K28" s="32">
        <f>-G15+G42+G43+G44+G45+G46</f>
        <v>1032</v>
      </c>
      <c r="L28" s="145"/>
      <c r="M28" s="39" t="s">
        <v>21</v>
      </c>
    </row>
    <row r="29" spans="1:16" x14ac:dyDescent="0.25">
      <c r="A29" s="34" t="s">
        <v>57</v>
      </c>
      <c r="B29" s="57"/>
      <c r="C29" s="65"/>
      <c r="D29" s="54"/>
      <c r="F29" s="66"/>
      <c r="G29" s="67"/>
      <c r="H29" s="37">
        <f t="shared" si="0"/>
        <v>0</v>
      </c>
      <c r="I29" s="12">
        <v>2</v>
      </c>
      <c r="J29" s="13">
        <v>6630</v>
      </c>
      <c r="K29" s="32">
        <f>G9</f>
        <v>0</v>
      </c>
      <c r="M29" s="39" t="s">
        <v>23</v>
      </c>
    </row>
    <row r="30" spans="1:16" x14ac:dyDescent="0.25">
      <c r="A30" s="34" t="s">
        <v>58</v>
      </c>
      <c r="B30" s="57"/>
      <c r="C30" s="27"/>
      <c r="F30" s="68"/>
      <c r="G30" s="67"/>
      <c r="H30" s="37">
        <f t="shared" si="0"/>
        <v>0</v>
      </c>
      <c r="I30" s="12">
        <v>2</v>
      </c>
      <c r="J30" s="13">
        <v>6570</v>
      </c>
      <c r="K30" s="32">
        <f>-G23+G51+G58</f>
        <v>139.78684011365348</v>
      </c>
      <c r="L30" s="145"/>
      <c r="M30" s="5" t="s">
        <v>25</v>
      </c>
    </row>
    <row r="31" spans="1:16" x14ac:dyDescent="0.25">
      <c r="A31" s="34" t="s">
        <v>59</v>
      </c>
      <c r="B31" s="57"/>
      <c r="C31" s="27">
        <f t="shared" ref="C31" si="2"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6571</v>
      </c>
      <c r="K31" s="32">
        <f>G55</f>
        <v>318</v>
      </c>
      <c r="L31" s="145"/>
      <c r="M31" s="43" t="s">
        <v>27</v>
      </c>
    </row>
    <row r="32" spans="1:16" ht="18.75" thickBot="1" x14ac:dyDescent="0.3">
      <c r="A32" s="34" t="s">
        <v>60</v>
      </c>
      <c r="B32" s="71">
        <f>B7+B8+B9+B10-B11-B12-B13-B14-B15-B16-B29-B20-B26-B25-B28-B17-B21-B18-B23-B22-B24+B30+B31-B19-B27</f>
        <v>15217.389999999998</v>
      </c>
      <c r="C32" s="72">
        <f>B32-F32-G32-H32</f>
        <v>-26.700000000003456</v>
      </c>
      <c r="D32" s="71"/>
      <c r="E32" s="71"/>
      <c r="F32" s="71">
        <f>F7+F8+F9+F10-F11-F12-F13-F14-F15-F29-F20-F26-F25-F28-F17-F21-F18-F23-F22-F24+F30+F31</f>
        <v>1581</v>
      </c>
      <c r="G32" s="71">
        <f>G7+G8+G9+G10-G11-G12-G13-G14-G15-G29-G20-G26-G25-G28-G17-G21-G18-G23-G22-G24+G30+G31</f>
        <v>8939.26</v>
      </c>
      <c r="H32" s="71">
        <f>H7+H8+H9+H10-H11-H12-H13-H14-H15-H29-H20-H26-H25-H28-H17-H21-H18-H23-H22-H24+H30+H31-H19-H27</f>
        <v>4723.8300000000008</v>
      </c>
      <c r="I32" s="12">
        <v>2</v>
      </c>
      <c r="J32" s="13">
        <v>6571</v>
      </c>
      <c r="K32" s="32"/>
      <c r="L32" s="145"/>
      <c r="M32" s="5" t="s">
        <v>61</v>
      </c>
      <c r="O32" s="1"/>
      <c r="P32" s="1"/>
    </row>
    <row r="33" spans="1:16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45" t="s">
        <v>62</v>
      </c>
      <c r="J33" s="46" t="s">
        <v>63</v>
      </c>
      <c r="K33" s="47">
        <f>G10+G31-K81</f>
        <v>0</v>
      </c>
      <c r="L33" s="48"/>
      <c r="M33" s="48" t="s">
        <v>32</v>
      </c>
      <c r="N33" s="48"/>
      <c r="O33" s="48"/>
      <c r="P33" s="48"/>
    </row>
    <row r="34" spans="1:16" x14ac:dyDescent="0.25">
      <c r="F34" s="6"/>
      <c r="G34" s="32"/>
      <c r="H34" s="32">
        <v>0</v>
      </c>
      <c r="I34" s="52">
        <v>2</v>
      </c>
      <c r="J34" s="10">
        <v>2120</v>
      </c>
      <c r="K34" s="21">
        <f>-G16</f>
        <v>-14.38</v>
      </c>
      <c r="L34" s="1"/>
      <c r="M34" s="1" t="s">
        <v>34</v>
      </c>
      <c r="N34" s="1"/>
      <c r="O34" s="1"/>
      <c r="P34" s="1"/>
    </row>
    <row r="35" spans="1:16" x14ac:dyDescent="0.25">
      <c r="A35" s="1" t="s">
        <v>64</v>
      </c>
      <c r="F35" s="6"/>
      <c r="G35" s="32"/>
      <c r="H35" s="32"/>
      <c r="I35" s="12">
        <v>2</v>
      </c>
      <c r="J35" s="13">
        <v>1830</v>
      </c>
      <c r="K35" s="32">
        <f>ROUND(-G20-G27-G29-G17-G18-G21-G26-G28,2)</f>
        <v>0</v>
      </c>
      <c r="M35" s="5" t="s">
        <v>36</v>
      </c>
      <c r="O35" s="1"/>
      <c r="P35" s="1"/>
    </row>
    <row r="36" spans="1:16" ht="18.75" thickBot="1" x14ac:dyDescent="0.3">
      <c r="A36" s="23" t="s">
        <v>65</v>
      </c>
      <c r="F36" s="6"/>
      <c r="G36" s="32"/>
      <c r="H36" s="32"/>
      <c r="I36" s="12">
        <v>2</v>
      </c>
      <c r="J36" s="13">
        <v>6610</v>
      </c>
      <c r="K36" s="82">
        <f>ROUND(G66,2)</f>
        <v>0</v>
      </c>
      <c r="M36" s="5" t="s">
        <v>38</v>
      </c>
      <c r="O36" s="1"/>
      <c r="P36" s="1"/>
    </row>
    <row r="37" spans="1:16" x14ac:dyDescent="0.25">
      <c r="A37" s="25" t="s">
        <v>66</v>
      </c>
      <c r="B37" s="80">
        <f>B11</f>
        <v>1082.53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1082.53</v>
      </c>
      <c r="I37" s="12">
        <v>2</v>
      </c>
      <c r="J37" s="13">
        <v>6300</v>
      </c>
      <c r="K37" s="84">
        <f>ROUND(G71,2)</f>
        <v>0</v>
      </c>
      <c r="M37" s="5" t="s">
        <v>40</v>
      </c>
      <c r="O37" s="1"/>
      <c r="P37" s="1"/>
    </row>
    <row r="38" spans="1:16" x14ac:dyDescent="0.25">
      <c r="A38" s="34" t="s">
        <v>67</v>
      </c>
      <c r="B38" s="83">
        <f>B12</f>
        <v>253.19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253.19</v>
      </c>
      <c r="I38" s="12">
        <v>2</v>
      </c>
      <c r="J38" s="13">
        <v>6940</v>
      </c>
      <c r="K38" s="32">
        <f>G30</f>
        <v>0</v>
      </c>
      <c r="M38" s="5" t="s">
        <v>42</v>
      </c>
      <c r="O38" s="1"/>
      <c r="P38" s="1"/>
    </row>
    <row r="39" spans="1:16" ht="18.75" thickBot="1" x14ac:dyDescent="0.3">
      <c r="A39" s="34" t="s">
        <v>68</v>
      </c>
      <c r="B39" s="83">
        <f>B13</f>
        <v>0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0</v>
      </c>
      <c r="I39" s="85"/>
      <c r="K39" s="86">
        <f>SUM(K26:K38)</f>
        <v>10883.666840113654</v>
      </c>
      <c r="N39" s="1">
        <v>2040</v>
      </c>
      <c r="O39" s="1"/>
      <c r="P39" s="1"/>
    </row>
    <row r="40" spans="1:16" ht="18.75" thickTop="1" x14ac:dyDescent="0.25">
      <c r="A40" s="34" t="s">
        <v>69</v>
      </c>
      <c r="B40" s="83">
        <f>B14</f>
        <v>0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0</v>
      </c>
      <c r="I40" s="12"/>
      <c r="J40" s="13"/>
      <c r="K40" s="32"/>
      <c r="O40" s="1"/>
      <c r="P40" s="1"/>
    </row>
    <row r="41" spans="1:16" x14ac:dyDescent="0.25">
      <c r="A41" s="87" t="s">
        <v>70</v>
      </c>
      <c r="B41" s="83"/>
      <c r="C41" s="27"/>
      <c r="F41" s="6"/>
      <c r="G41" s="88"/>
      <c r="H41" s="37"/>
      <c r="I41" s="22">
        <v>3</v>
      </c>
      <c r="J41" s="23"/>
      <c r="O41" s="1"/>
      <c r="P41" s="1"/>
    </row>
    <row r="42" spans="1:16" x14ac:dyDescent="0.25">
      <c r="A42" s="34" t="s">
        <v>66</v>
      </c>
      <c r="B42" s="89">
        <v>1082.52</v>
      </c>
      <c r="C42" s="27">
        <f>B42-F42-G42-H42</f>
        <v>0</v>
      </c>
      <c r="D42" s="4">
        <v>6580</v>
      </c>
      <c r="F42" s="90">
        <v>105.4</v>
      </c>
      <c r="G42" s="90">
        <v>583.29999999999995</v>
      </c>
      <c r="H42" s="37">
        <f>B42-F42-G42</f>
        <v>393.82000000000005</v>
      </c>
      <c r="I42" s="12">
        <v>3</v>
      </c>
      <c r="J42" s="13">
        <v>6510</v>
      </c>
      <c r="K42" s="92">
        <f>+F7</f>
        <v>1700</v>
      </c>
      <c r="M42" s="5" t="s">
        <v>75</v>
      </c>
      <c r="O42" s="1"/>
      <c r="P42" s="1"/>
    </row>
    <row r="43" spans="1:16" x14ac:dyDescent="0.25">
      <c r="A43" s="34" t="s">
        <v>67</v>
      </c>
      <c r="B43" s="89">
        <v>253.21</v>
      </c>
      <c r="C43" s="27">
        <f>B43-F43-G43-H43</f>
        <v>0</v>
      </c>
      <c r="D43" s="4">
        <v>6580</v>
      </c>
      <c r="F43" s="90">
        <v>24.65</v>
      </c>
      <c r="G43" s="90">
        <v>136.43</v>
      </c>
      <c r="H43" s="37">
        <f>B43-F43-G43</f>
        <v>92.13</v>
      </c>
      <c r="I43" s="12">
        <v>3</v>
      </c>
      <c r="J43" s="13">
        <v>6505</v>
      </c>
      <c r="K43" s="92">
        <f>+F8</f>
        <v>0</v>
      </c>
      <c r="M43" s="5" t="s">
        <v>73</v>
      </c>
      <c r="O43" s="1"/>
      <c r="P43" s="1"/>
    </row>
    <row r="44" spans="1:16" x14ac:dyDescent="0.25">
      <c r="A44" s="34" t="s">
        <v>72</v>
      </c>
      <c r="B44" s="89">
        <v>94.8</v>
      </c>
      <c r="C44" s="27">
        <f>B44-F44-G44-H44</f>
        <v>0</v>
      </c>
      <c r="D44" s="4">
        <v>6580</v>
      </c>
      <c r="F44" s="90">
        <v>10.199999999999999</v>
      </c>
      <c r="G44" s="91">
        <v>46.49</v>
      </c>
      <c r="H44" s="37">
        <f>B44-G44-F44</f>
        <v>38.11</v>
      </c>
      <c r="I44" s="12">
        <v>3</v>
      </c>
      <c r="J44" s="13">
        <v>6580</v>
      </c>
      <c r="K44" s="92">
        <f>-F15+F42+F43+F44+F45+F46</f>
        <v>188.28</v>
      </c>
      <c r="M44" s="39" t="s">
        <v>21</v>
      </c>
      <c r="O44" s="1"/>
      <c r="P44" s="1"/>
    </row>
    <row r="45" spans="1:16" x14ac:dyDescent="0.25">
      <c r="A45" s="34" t="s">
        <v>74</v>
      </c>
      <c r="B45" s="89">
        <v>493.24</v>
      </c>
      <c r="C45" s="27">
        <f>B45-F45-G45-H45</f>
        <v>0</v>
      </c>
      <c r="D45" s="4">
        <v>6580</v>
      </c>
      <c r="F45" s="93">
        <v>48.03</v>
      </c>
      <c r="G45" s="94">
        <v>265.77999999999997</v>
      </c>
      <c r="H45" s="37">
        <f>B45-G45-F45</f>
        <v>179.43000000000004</v>
      </c>
      <c r="I45" s="12">
        <v>3</v>
      </c>
      <c r="J45" s="13">
        <v>6610</v>
      </c>
      <c r="K45" s="92">
        <f>ROUND(F66,2)</f>
        <v>0</v>
      </c>
      <c r="M45" s="5" t="s">
        <v>38</v>
      </c>
      <c r="O45" s="1"/>
      <c r="P45" s="1"/>
    </row>
    <row r="46" spans="1:16" x14ac:dyDescent="0.25">
      <c r="A46" s="34" t="s">
        <v>76</v>
      </c>
      <c r="B46" s="89">
        <v>13.1</v>
      </c>
      <c r="C46" s="27">
        <f>B46-F46-G46-H46</f>
        <v>0</v>
      </c>
      <c r="F46" s="95"/>
      <c r="G46" s="96"/>
      <c r="H46" s="37">
        <f>B46-G46-F46</f>
        <v>13.1</v>
      </c>
      <c r="I46" s="12">
        <v>3</v>
      </c>
      <c r="J46" s="13">
        <v>6300</v>
      </c>
      <c r="K46" s="92">
        <f>ROUND(F71,2)</f>
        <v>0</v>
      </c>
      <c r="M46" s="5" t="s">
        <v>40</v>
      </c>
      <c r="O46" s="1"/>
      <c r="P46" s="1"/>
    </row>
    <row r="47" spans="1:16" ht="18.75" thickBot="1" x14ac:dyDescent="0.3">
      <c r="B47" s="97">
        <f>SUM(B42:B46)</f>
        <v>1936.87</v>
      </c>
      <c r="C47" s="27">
        <f>B48-F47-G47-H47</f>
        <v>0</v>
      </c>
      <c r="D47" s="7"/>
      <c r="E47" s="1"/>
      <c r="F47" s="97">
        <f>SUM(F37:F46)</f>
        <v>188.28</v>
      </c>
      <c r="G47" s="97">
        <f>SUM(G37:G46)</f>
        <v>1032</v>
      </c>
      <c r="H47" s="71">
        <f>SUM(H37:H46)</f>
        <v>2052.31</v>
      </c>
      <c r="I47" s="45" t="s">
        <v>62</v>
      </c>
      <c r="J47" s="46" t="s">
        <v>63</v>
      </c>
      <c r="K47" s="105">
        <f>F10+F31-K86</f>
        <v>0</v>
      </c>
      <c r="L47" s="48"/>
      <c r="M47" s="48" t="s">
        <v>32</v>
      </c>
      <c r="N47" s="48"/>
      <c r="O47" s="48"/>
      <c r="P47" s="48"/>
    </row>
    <row r="48" spans="1:16" ht="19.5" thickTop="1" thickBot="1" x14ac:dyDescent="0.3">
      <c r="A48" s="34" t="s">
        <v>60</v>
      </c>
      <c r="B48" s="98">
        <f>SUM(B37:B46)</f>
        <v>3272.5899999999997</v>
      </c>
      <c r="C48" s="99"/>
      <c r="D48" s="100"/>
      <c r="E48" s="101"/>
      <c r="F48" s="102"/>
      <c r="G48" s="103"/>
      <c r="H48" s="104"/>
      <c r="I48" s="52">
        <v>3</v>
      </c>
      <c r="J48" s="10">
        <v>2120</v>
      </c>
      <c r="K48" s="156">
        <f>-F16</f>
        <v>-2.6</v>
      </c>
      <c r="L48" s="1"/>
      <c r="M48" s="1" t="s">
        <v>34</v>
      </c>
      <c r="N48" s="1"/>
      <c r="O48" s="1"/>
      <c r="P48" s="1"/>
    </row>
    <row r="49" spans="1:23" ht="18.75" thickTop="1" x14ac:dyDescent="0.25">
      <c r="F49" s="6"/>
      <c r="G49" s="32"/>
      <c r="H49" s="32"/>
      <c r="I49" s="12">
        <v>3</v>
      </c>
      <c r="J49" s="13">
        <v>6630</v>
      </c>
      <c r="K49" s="92">
        <f>F9+F30</f>
        <v>0</v>
      </c>
      <c r="M49" s="39" t="s">
        <v>23</v>
      </c>
      <c r="O49" s="1"/>
      <c r="P49" s="1"/>
    </row>
    <row r="50" spans="1:23" ht="18.75" thickBot="1" x14ac:dyDescent="0.3">
      <c r="A50" s="1" t="s">
        <v>77</v>
      </c>
      <c r="F50" s="6"/>
      <c r="G50" s="32"/>
      <c r="H50" s="32"/>
      <c r="I50" s="12">
        <v>3</v>
      </c>
      <c r="J50" s="13">
        <v>6570</v>
      </c>
      <c r="K50" s="92">
        <f>F58</f>
        <v>25.258403593566815</v>
      </c>
      <c r="M50" s="5" t="s">
        <v>25</v>
      </c>
      <c r="O50" s="1"/>
      <c r="P50" s="1"/>
    </row>
    <row r="51" spans="1:23" x14ac:dyDescent="0.25">
      <c r="A51" s="25" t="s">
        <v>78</v>
      </c>
      <c r="B51" s="80">
        <f>B23</f>
        <v>880.28</v>
      </c>
      <c r="C51" s="106"/>
      <c r="D51" s="28">
        <v>6570</v>
      </c>
      <c r="E51" s="29"/>
      <c r="F51" s="81">
        <f>F23</f>
        <v>119</v>
      </c>
      <c r="G51" s="107">
        <f>G23</f>
        <v>469</v>
      </c>
      <c r="H51" s="31">
        <f>B51-G51-F51</f>
        <v>292.27999999999997</v>
      </c>
      <c r="I51" s="12">
        <v>3</v>
      </c>
      <c r="J51" s="13">
        <v>6571</v>
      </c>
      <c r="K51" s="92">
        <f>F55</f>
        <v>68</v>
      </c>
      <c r="M51" s="5" t="s">
        <v>27</v>
      </c>
      <c r="O51" s="1"/>
      <c r="P51" s="1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6571</v>
      </c>
      <c r="K52" s="92"/>
      <c r="M52" s="5" t="s">
        <v>61</v>
      </c>
      <c r="O52" s="1"/>
      <c r="P52" s="1"/>
    </row>
    <row r="53" spans="1:23" x14ac:dyDescent="0.25">
      <c r="A53" s="34" t="s">
        <v>60</v>
      </c>
      <c r="B53" s="108">
        <f>SUM(B51:B52)</f>
        <v>880.28</v>
      </c>
      <c r="C53" s="27"/>
      <c r="F53" s="6"/>
      <c r="G53" s="88"/>
      <c r="H53" s="37"/>
      <c r="I53" s="12">
        <v>3</v>
      </c>
      <c r="J53" s="13">
        <v>6550</v>
      </c>
      <c r="K53" s="92">
        <f>-F20</f>
        <v>0</v>
      </c>
      <c r="M53" s="5" t="s">
        <v>81</v>
      </c>
      <c r="O53" s="1"/>
      <c r="P53" s="1"/>
    </row>
    <row r="54" spans="1:23" ht="18.75" thickBot="1" x14ac:dyDescent="0.3">
      <c r="A54" s="34"/>
      <c r="B54" s="109"/>
      <c r="C54" s="27"/>
      <c r="F54" s="6"/>
      <c r="G54" s="88"/>
      <c r="H54" s="37"/>
      <c r="I54" s="12"/>
      <c r="J54" s="13"/>
      <c r="K54" s="86">
        <f>SUM(K42:K53)</f>
        <v>1978.9384035935668</v>
      </c>
      <c r="L54" s="1"/>
      <c r="N54" s="1">
        <v>2040</v>
      </c>
      <c r="O54" s="1"/>
      <c r="P54" s="1"/>
      <c r="Q54" s="33">
        <f>+O56+K56</f>
        <v>0</v>
      </c>
      <c r="S54" s="33">
        <f>+R56+N56</f>
        <v>0</v>
      </c>
      <c r="U54" s="33">
        <f>+T56+Q56</f>
        <v>0</v>
      </c>
      <c r="W54" s="32">
        <f>+V56+S56</f>
        <v>0</v>
      </c>
    </row>
    <row r="55" spans="1:23" ht="18.75" thickTop="1" x14ac:dyDescent="0.25">
      <c r="A55" s="34" t="s">
        <v>80</v>
      </c>
      <c r="B55" s="110">
        <v>613.64</v>
      </c>
      <c r="C55" s="111"/>
      <c r="D55" s="4">
        <v>6571</v>
      </c>
      <c r="F55" s="90">
        <v>68</v>
      </c>
      <c r="G55" s="91">
        <v>318</v>
      </c>
      <c r="H55" s="37">
        <f>B55-F55-G55</f>
        <v>227.64</v>
      </c>
      <c r="I55" s="12"/>
      <c r="J55" s="13"/>
      <c r="K55" s="32"/>
      <c r="M55" s="1" t="s">
        <v>83</v>
      </c>
      <c r="O55" s="1"/>
      <c r="P55" s="1"/>
    </row>
    <row r="56" spans="1:23" ht="18.75" thickBot="1" x14ac:dyDescent="0.3">
      <c r="A56" s="34" t="s">
        <v>61</v>
      </c>
      <c r="B56" s="112">
        <v>95.75</v>
      </c>
      <c r="C56" s="111"/>
      <c r="D56" s="4">
        <v>6571</v>
      </c>
      <c r="F56" s="93"/>
      <c r="G56" s="157"/>
      <c r="H56" s="37">
        <f>B56-F56-G56</f>
        <v>95.75</v>
      </c>
      <c r="I56" s="52">
        <v>1</v>
      </c>
      <c r="J56" s="10">
        <v>1012</v>
      </c>
      <c r="K56" s="113">
        <f>-(K23+K39+K54+K74+K81+K86)-K57-K58</f>
        <v>-20243.32</v>
      </c>
      <c r="M56" s="1"/>
      <c r="O56" s="114">
        <f>+'[1]1012-CNB Checking'!$F$68</f>
        <v>20243.32</v>
      </c>
      <c r="P56" s="114"/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85">
        <v>1</v>
      </c>
      <c r="K57" s="21"/>
      <c r="O57" s="21"/>
      <c r="P57" s="1"/>
    </row>
    <row r="58" spans="1:23" x14ac:dyDescent="0.25">
      <c r="A58" s="34" t="s">
        <v>25</v>
      </c>
      <c r="B58" s="110">
        <v>259.42</v>
      </c>
      <c r="C58" s="111"/>
      <c r="D58" s="4">
        <v>6570</v>
      </c>
      <c r="F58" s="88">
        <f>+((F7+F8)/(B8+B7))*B58</f>
        <v>25.258403593566815</v>
      </c>
      <c r="G58" s="88">
        <f>+((G7+G8)/(B7+B8))*B58</f>
        <v>139.78684011365348</v>
      </c>
      <c r="H58" s="37">
        <f>+B58-F58-G58</f>
        <v>94.374756292779722</v>
      </c>
      <c r="I58" s="85">
        <v>1</v>
      </c>
      <c r="K58" s="21"/>
      <c r="O58" s="21"/>
      <c r="P58" s="1"/>
    </row>
    <row r="59" spans="1:23" x14ac:dyDescent="0.25">
      <c r="A59" s="34" t="s">
        <v>48</v>
      </c>
      <c r="B59" s="83">
        <f>B24</f>
        <v>0</v>
      </c>
      <c r="C59" s="27"/>
      <c r="F59" s="88">
        <f>F24</f>
        <v>0</v>
      </c>
      <c r="G59" s="88">
        <f>G24</f>
        <v>0</v>
      </c>
      <c r="H59" s="37">
        <f>B59-F59-G59</f>
        <v>0</v>
      </c>
      <c r="I59" s="85"/>
      <c r="K59" s="21"/>
      <c r="O59" s="21"/>
      <c r="P59" s="1"/>
    </row>
    <row r="60" spans="1:23" x14ac:dyDescent="0.25">
      <c r="A60" s="34" t="s">
        <v>84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115" t="s">
        <v>85</v>
      </c>
      <c r="K60" s="32"/>
      <c r="O60" s="1"/>
      <c r="P60" s="1"/>
    </row>
    <row r="61" spans="1:23" ht="18.75" thickBot="1" x14ac:dyDescent="0.3">
      <c r="A61" s="34" t="s">
        <v>60</v>
      </c>
      <c r="B61" s="116">
        <f>B53+B59+B60+B55+B58+B57</f>
        <v>1753.3400000000001</v>
      </c>
      <c r="C61" s="117"/>
      <c r="D61" s="7"/>
      <c r="E61" s="1"/>
      <c r="F61" s="71">
        <f>F51+F55</f>
        <v>187</v>
      </c>
      <c r="G61" s="71">
        <f>G51+G55</f>
        <v>787</v>
      </c>
      <c r="H61" s="118">
        <f>B61-G61</f>
        <v>966.34000000000015</v>
      </c>
      <c r="I61" s="115">
        <v>1</v>
      </c>
      <c r="J61" s="5">
        <v>1834</v>
      </c>
      <c r="K61" s="120"/>
      <c r="M61" s="5" t="s">
        <v>42</v>
      </c>
      <c r="O61" s="1"/>
      <c r="P61" s="1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6015</v>
      </c>
      <c r="K62" s="120"/>
      <c r="M62" s="5" t="s">
        <v>122</v>
      </c>
      <c r="O62" s="1"/>
      <c r="P62" s="1"/>
    </row>
    <row r="63" spans="1:23" x14ac:dyDescent="0.25">
      <c r="F63" s="6"/>
      <c r="I63" s="85">
        <v>1</v>
      </c>
      <c r="J63" s="5">
        <v>6565</v>
      </c>
      <c r="K63" s="120"/>
      <c r="M63" s="5" t="s">
        <v>86</v>
      </c>
      <c r="O63" s="1"/>
      <c r="P63" s="1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123</v>
      </c>
      <c r="O64" s="1"/>
      <c r="P64" s="1"/>
    </row>
    <row r="65" spans="1:16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6551</v>
      </c>
      <c r="K65" s="120"/>
      <c r="M65" s="5" t="s">
        <v>91</v>
      </c>
      <c r="O65" s="1"/>
      <c r="P65" s="1"/>
    </row>
    <row r="66" spans="1:16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K66" s="158"/>
      <c r="O66" s="1"/>
      <c r="P66" s="1"/>
    </row>
    <row r="67" spans="1:16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K67" s="120"/>
      <c r="O67" s="1"/>
      <c r="P67" s="1"/>
    </row>
    <row r="68" spans="1:16" x14ac:dyDescent="0.25">
      <c r="F68" s="6"/>
      <c r="I68" s="85">
        <v>1</v>
      </c>
      <c r="K68" s="120"/>
      <c r="O68" s="1"/>
      <c r="P68" s="1"/>
    </row>
    <row r="69" spans="1:16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P69" s="1"/>
    </row>
    <row r="70" spans="1:16" x14ac:dyDescent="0.25">
      <c r="A70" s="25" t="s">
        <v>94</v>
      </c>
      <c r="B70" s="26"/>
      <c r="C70" s="106"/>
      <c r="D70" s="28">
        <v>6300</v>
      </c>
      <c r="E70" s="29"/>
      <c r="F70" s="81">
        <f>B70*F69</f>
        <v>0</v>
      </c>
      <c r="G70" s="107">
        <f>B70*G69</f>
        <v>0</v>
      </c>
      <c r="H70" s="31">
        <f>B70*H69-0</f>
        <v>0</v>
      </c>
      <c r="I70" s="85"/>
      <c r="K70" s="120"/>
      <c r="O70" s="1"/>
      <c r="P70" s="1"/>
    </row>
    <row r="71" spans="1:16" ht="21" thickBot="1" x14ac:dyDescent="0.35">
      <c r="A71" s="34" t="s">
        <v>60</v>
      </c>
      <c r="B71" s="116">
        <f>SUM(B70)</f>
        <v>0</v>
      </c>
      <c r="C71" s="117"/>
      <c r="D71" s="7"/>
      <c r="E71" s="1"/>
      <c r="F71" s="71">
        <f>F70</f>
        <v>0</v>
      </c>
      <c r="G71" s="71">
        <f>G70</f>
        <v>0</v>
      </c>
      <c r="H71" s="118">
        <f>H70</f>
        <v>0</v>
      </c>
      <c r="I71" s="85"/>
      <c r="J71" s="85"/>
      <c r="K71" s="120"/>
      <c r="M71" s="125"/>
      <c r="O71" s="1"/>
      <c r="P71" s="1"/>
    </row>
    <row r="72" spans="1:16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P72" s="1"/>
    </row>
    <row r="73" spans="1:16" ht="18.75" thickBot="1" x14ac:dyDescent="0.3">
      <c r="F73" s="6"/>
      <c r="I73" s="85"/>
      <c r="K73" s="127"/>
      <c r="O73" s="1"/>
      <c r="P73" s="1"/>
    </row>
    <row r="74" spans="1:16" ht="18.75" thickBot="1" x14ac:dyDescent="0.3">
      <c r="A74" s="1" t="s">
        <v>96</v>
      </c>
      <c r="B74" s="128">
        <f>ROUND((B71+B66+B61+B48+B32),2)</f>
        <v>20243.32</v>
      </c>
      <c r="F74" s="6"/>
      <c r="I74" s="85" t="s">
        <v>97</v>
      </c>
      <c r="K74" s="129">
        <f>SUM(K61:K73)</f>
        <v>0</v>
      </c>
      <c r="O74" s="1"/>
      <c r="P74" s="1"/>
    </row>
    <row r="75" spans="1:16" ht="18.75" thickBot="1" x14ac:dyDescent="0.3">
      <c r="F75" s="6"/>
      <c r="I75" s="85">
        <v>2</v>
      </c>
      <c r="J75" s="5">
        <v>6565</v>
      </c>
      <c r="K75" s="120"/>
      <c r="M75" s="5" t="s">
        <v>86</v>
      </c>
      <c r="O75" s="1"/>
      <c r="P75" s="1"/>
    </row>
    <row r="76" spans="1:16" x14ac:dyDescent="0.25">
      <c r="A76" s="129" t="s">
        <v>99</v>
      </c>
      <c r="B76" s="159">
        <v>15121.64</v>
      </c>
      <c r="C76" s="130"/>
      <c r="D76" s="131" t="s">
        <v>100</v>
      </c>
      <c r="E76" s="6"/>
      <c r="F76" s="6"/>
      <c r="G76" s="132"/>
      <c r="H76" s="6"/>
      <c r="I76" s="85">
        <v>2</v>
      </c>
      <c r="J76" s="5">
        <v>6551</v>
      </c>
      <c r="K76" s="120"/>
      <c r="M76" s="5" t="s">
        <v>91</v>
      </c>
      <c r="O76" s="1"/>
      <c r="P76" s="1"/>
    </row>
    <row r="77" spans="1:16" x14ac:dyDescent="0.25">
      <c r="A77" s="129" t="s">
        <v>101</v>
      </c>
      <c r="B77" s="130"/>
      <c r="C77" s="130"/>
      <c r="D77" s="131" t="s">
        <v>102</v>
      </c>
      <c r="E77" s="6"/>
      <c r="F77" s="6"/>
      <c r="G77" s="6"/>
      <c r="H77" s="6"/>
      <c r="I77" s="85">
        <v>2</v>
      </c>
      <c r="J77" s="119">
        <v>6015</v>
      </c>
      <c r="K77" s="120"/>
      <c r="M77" s="5" t="s">
        <v>42</v>
      </c>
      <c r="O77" s="1"/>
      <c r="P77" s="1"/>
    </row>
    <row r="78" spans="1:16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/>
      <c r="M78" s="5" t="s">
        <v>124</v>
      </c>
      <c r="O78" s="1"/>
      <c r="P78" s="1"/>
    </row>
    <row r="79" spans="1:16" ht="18.75" thickBot="1" x14ac:dyDescent="0.3">
      <c r="A79" s="134" t="s">
        <v>104</v>
      </c>
      <c r="B79" s="135">
        <f>ROUND(SUM(B76:B78),2)</f>
        <v>15121.64</v>
      </c>
      <c r="C79" s="130"/>
      <c r="D79" s="131"/>
      <c r="E79" s="6"/>
      <c r="F79" s="6"/>
      <c r="G79" s="129">
        <f>SUM(G76:G78)</f>
        <v>0</v>
      </c>
      <c r="H79" s="6" t="s">
        <v>105</v>
      </c>
      <c r="I79" s="85">
        <v>2</v>
      </c>
      <c r="J79" s="119">
        <v>6551</v>
      </c>
      <c r="K79" s="120"/>
      <c r="M79" s="5" t="s">
        <v>91</v>
      </c>
      <c r="O79" s="1"/>
      <c r="P79" s="1"/>
    </row>
    <row r="80" spans="1:16" ht="18.75" thickBot="1" x14ac:dyDescent="0.3">
      <c r="A80" s="1" t="s">
        <v>106</v>
      </c>
      <c r="B80" s="132">
        <v>20243.32</v>
      </c>
      <c r="H80" s="128" t="str">
        <f>IF(B79-G79=0,"ok","NO")</f>
        <v>NO</v>
      </c>
      <c r="I80" s="85"/>
      <c r="J80" s="119"/>
      <c r="K80" s="126"/>
      <c r="O80" s="1"/>
      <c r="P80" s="1"/>
    </row>
    <row r="81" spans="1:25" ht="18.75" thickBot="1" x14ac:dyDescent="0.3">
      <c r="A81" s="1" t="s">
        <v>94</v>
      </c>
      <c r="B81" s="3">
        <f>B66+B71</f>
        <v>0</v>
      </c>
      <c r="C81" s="1" t="s">
        <v>108</v>
      </c>
      <c r="I81" s="85"/>
      <c r="K81" s="129">
        <f>SUM(K75:K80)</f>
        <v>0</v>
      </c>
      <c r="O81" s="1"/>
      <c r="P81" s="1"/>
    </row>
    <row r="82" spans="1:25" ht="18.75" thickBot="1" x14ac:dyDescent="0.3">
      <c r="B82" s="3">
        <f>+B80+B81</f>
        <v>20243.32</v>
      </c>
      <c r="C82" s="128" t="str">
        <f>IF(B74=B82,"ok","NO")</f>
        <v>ok</v>
      </c>
      <c r="F82" s="136"/>
      <c r="G82" s="32"/>
      <c r="I82" s="85" t="s">
        <v>110</v>
      </c>
      <c r="K82" s="6"/>
      <c r="O82" s="1"/>
      <c r="P82" s="1"/>
    </row>
    <row r="83" spans="1:25" x14ac:dyDescent="0.25">
      <c r="A83" s="5"/>
      <c r="B83" s="92">
        <f>+B82-B74</f>
        <v>0</v>
      </c>
      <c r="I83" s="85">
        <v>3</v>
      </c>
      <c r="J83" s="5">
        <v>6015</v>
      </c>
      <c r="K83" s="138"/>
      <c r="M83" s="5" t="s">
        <v>122</v>
      </c>
      <c r="O83" s="1"/>
      <c r="P83" s="1"/>
    </row>
    <row r="84" spans="1:25" x14ac:dyDescent="0.25">
      <c r="I84" s="85">
        <v>3</v>
      </c>
      <c r="J84" s="5">
        <v>6680</v>
      </c>
      <c r="K84" s="120"/>
      <c r="M84" s="5" t="s">
        <v>125</v>
      </c>
      <c r="O84" s="1"/>
      <c r="P84" s="1"/>
    </row>
    <row r="85" spans="1:25" s="33" customFormat="1" x14ac:dyDescent="0.25">
      <c r="A85" s="5"/>
      <c r="B85" s="5"/>
      <c r="C85" s="5"/>
      <c r="D85" s="5"/>
      <c r="E85" s="5"/>
      <c r="F85" s="5"/>
      <c r="G85" s="5"/>
      <c r="H85" s="5"/>
      <c r="I85" s="85">
        <v>3</v>
      </c>
      <c r="J85" s="5">
        <v>6680</v>
      </c>
      <c r="K85" s="126"/>
      <c r="L85" s="5"/>
      <c r="M85" s="5" t="s">
        <v>126</v>
      </c>
      <c r="N85" s="5"/>
      <c r="O85" s="1"/>
      <c r="P85" s="1"/>
      <c r="W85" s="5"/>
      <c r="X85" s="5"/>
      <c r="Y85" s="5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/>
      <c r="J86" s="5"/>
      <c r="K86" s="129">
        <f>SUM(K83:K85)</f>
        <v>0</v>
      </c>
      <c r="L86" s="5"/>
      <c r="M86" s="5"/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32"/>
      <c r="C87" s="5"/>
      <c r="D87" s="5"/>
      <c r="E87" s="5"/>
      <c r="F87" s="5"/>
      <c r="G87" s="5"/>
      <c r="H87" s="5"/>
      <c r="I87" s="85"/>
      <c r="J87" s="5"/>
      <c r="K87" s="6"/>
      <c r="L87" s="5"/>
      <c r="M87" s="5"/>
      <c r="N87" s="5"/>
      <c r="O87" s="1"/>
      <c r="P87" s="1"/>
      <c r="W87" s="5"/>
      <c r="X87" s="5"/>
    </row>
    <row r="88" spans="1:25" s="33" customFormat="1" x14ac:dyDescent="0.25">
      <c r="A88" s="5"/>
      <c r="B88" s="5"/>
      <c r="C88" s="5"/>
      <c r="D88" s="5"/>
      <c r="E88" s="5"/>
      <c r="F88" s="5"/>
      <c r="G88" s="5"/>
      <c r="H88" s="5"/>
      <c r="I88" s="85"/>
      <c r="J88" s="5"/>
      <c r="K88" s="140"/>
      <c r="L88" s="5"/>
      <c r="M88" s="5"/>
      <c r="N88" s="5"/>
      <c r="O88" s="1"/>
      <c r="P88" s="1"/>
      <c r="W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"/>
      <c r="P89" s="1"/>
    </row>
    <row r="90" spans="1:25" x14ac:dyDescent="0.25">
      <c r="A90" s="5"/>
      <c r="B90" s="5"/>
      <c r="C90" s="5"/>
      <c r="D90" s="5"/>
      <c r="J90" s="32"/>
      <c r="K90" s="32"/>
      <c r="O90" s="1"/>
      <c r="P90" s="1"/>
      <c r="W90" s="33"/>
      <c r="X90" s="33"/>
      <c r="Y90" s="33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W92" s="33"/>
      <c r="X92" s="33"/>
    </row>
    <row r="93" spans="1:25" x14ac:dyDescent="0.25">
      <c r="A93" s="5"/>
      <c r="B93" s="5"/>
      <c r="C93" s="5"/>
      <c r="D93" s="5"/>
      <c r="W93" s="33"/>
    </row>
    <row r="94" spans="1:25" x14ac:dyDescent="0.25">
      <c r="A94" s="5"/>
      <c r="B94" s="5"/>
      <c r="C94" s="5"/>
      <c r="D94" s="5"/>
    </row>
    <row r="95" spans="1:25" x14ac:dyDescent="0.25">
      <c r="A95" s="5"/>
      <c r="B95" s="5"/>
      <c r="C95" s="5"/>
      <c r="D95" s="5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2" max="23" man="1"/>
  </rowBreaks>
  <colBreaks count="1" manualBreakCount="1">
    <brk id="8" max="8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EB060-A990-446D-8E93-0E97ABED26BA}">
  <sheetPr>
    <tabColor rgb="FF00B050"/>
    <pageSetUpPr fitToPage="1"/>
  </sheetPr>
  <dimension ref="A2:Z99"/>
  <sheetViews>
    <sheetView zoomScale="70" zoomScaleNormal="70" zoomScalePageLayoutView="70" workbookViewId="0">
      <selection activeCell="B75" sqref="B75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4.2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hidden="1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43489</v>
      </c>
      <c r="K2" s="9"/>
      <c r="M2" s="5" t="s">
        <v>1</v>
      </c>
    </row>
    <row r="3" spans="1:19" x14ac:dyDescent="0.25">
      <c r="A3" s="10" t="s">
        <v>2</v>
      </c>
      <c r="B3" s="8">
        <v>43483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0.6</v>
      </c>
    </row>
    <row r="7" spans="1:19" x14ac:dyDescent="0.25">
      <c r="A7" s="25" t="s">
        <v>14</v>
      </c>
      <c r="B7" s="26">
        <v>45293.09</v>
      </c>
      <c r="C7" s="27">
        <f>B7-F7-G7-H7</f>
        <v>0</v>
      </c>
      <c r="D7" s="28">
        <v>6500</v>
      </c>
      <c r="E7" s="29"/>
      <c r="F7" s="30">
        <v>3885.95</v>
      </c>
      <c r="G7" s="30">
        <v>17752.05</v>
      </c>
      <c r="H7" s="31">
        <f t="shared" ref="H7:H31" si="0">B7-F7-G7</f>
        <v>23655.09</v>
      </c>
      <c r="I7" s="12">
        <v>1</v>
      </c>
      <c r="J7" s="13">
        <v>6500</v>
      </c>
      <c r="K7" s="32">
        <f>H7</f>
        <v>23655.09</v>
      </c>
      <c r="M7" s="5" t="s">
        <v>15</v>
      </c>
      <c r="P7" s="5">
        <v>1</v>
      </c>
      <c r="Q7" s="13">
        <v>6500</v>
      </c>
      <c r="R7" s="33">
        <f>+K7*$R$6</f>
        <v>14193.054</v>
      </c>
      <c r="S7" s="32">
        <f>+K7+R7</f>
        <v>37848.144</v>
      </c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2362.6999999999998</v>
      </c>
      <c r="C10" s="27">
        <f t="shared" ref="C10:C32" si="1">B10-F10-G10-H10</f>
        <v>0</v>
      </c>
      <c r="D10" s="4">
        <v>6040</v>
      </c>
      <c r="F10" s="35"/>
      <c r="G10" s="36">
        <v>436.83</v>
      </c>
      <c r="H10" s="37">
        <f t="shared" si="0"/>
        <v>1925.87</v>
      </c>
      <c r="I10" s="12">
        <v>1</v>
      </c>
      <c r="J10" s="13">
        <v>6580</v>
      </c>
      <c r="K10" s="32">
        <f>ROUND($H$42+$H$43+$H$44+$H$45-$H$15+$H$46,2)</f>
        <v>3014.1</v>
      </c>
      <c r="M10" s="39" t="s">
        <v>21</v>
      </c>
      <c r="P10" s="5">
        <v>1</v>
      </c>
      <c r="Q10" s="13">
        <v>6580</v>
      </c>
      <c r="R10" s="33">
        <f>+K10*$R$6</f>
        <v>1808.4599999999998</v>
      </c>
      <c r="S10" s="32">
        <f>+K10+R10</f>
        <v>4822.5599999999995</v>
      </c>
    </row>
    <row r="11" spans="1:19" x14ac:dyDescent="0.25">
      <c r="A11" s="34" t="s">
        <v>22</v>
      </c>
      <c r="B11" s="40">
        <v>2665.21</v>
      </c>
      <c r="C11" s="27">
        <f t="shared" si="1"/>
        <v>0</v>
      </c>
      <c r="D11" s="4">
        <v>2100</v>
      </c>
      <c r="F11" s="41"/>
      <c r="G11" s="41"/>
      <c r="H11" s="37">
        <f t="shared" si="0"/>
        <v>2665.21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623.34</v>
      </c>
      <c r="C12" s="27">
        <f t="shared" si="1"/>
        <v>0</v>
      </c>
      <c r="D12" s="4">
        <v>2100</v>
      </c>
      <c r="F12" s="41"/>
      <c r="G12" s="41"/>
      <c r="H12" s="37">
        <f t="shared" si="0"/>
        <v>623.34</v>
      </c>
      <c r="I12" s="12">
        <v>1</v>
      </c>
      <c r="J12" s="13">
        <v>6570</v>
      </c>
      <c r="K12" s="32">
        <f>-H23+H51+H58</f>
        <v>349.53</v>
      </c>
      <c r="M12" s="5" t="s">
        <v>25</v>
      </c>
      <c r="P12" s="5">
        <v>1</v>
      </c>
      <c r="Q12" s="13">
        <v>6570</v>
      </c>
      <c r="R12" s="33">
        <f>+K12*R6</f>
        <v>209.71799999999999</v>
      </c>
      <c r="S12" s="32">
        <f>+K12+R12</f>
        <v>559.24799999999993</v>
      </c>
    </row>
    <row r="13" spans="1:19" x14ac:dyDescent="0.25">
      <c r="A13" s="34" t="s">
        <v>26</v>
      </c>
      <c r="B13" s="42">
        <v>3326.72</v>
      </c>
      <c r="C13" s="27">
        <f t="shared" si="1"/>
        <v>0</v>
      </c>
      <c r="D13" s="4">
        <v>2110</v>
      </c>
      <c r="F13" s="41"/>
      <c r="G13" s="41"/>
      <c r="H13" s="37">
        <f t="shared" si="0"/>
        <v>3326.72</v>
      </c>
      <c r="I13" s="12">
        <v>1</v>
      </c>
      <c r="J13" s="13">
        <v>6571</v>
      </c>
      <c r="K13" s="32">
        <f>ROUND(H55,2)</f>
        <v>952.53</v>
      </c>
      <c r="M13" s="43" t="s">
        <v>27</v>
      </c>
      <c r="P13" s="5">
        <v>1</v>
      </c>
      <c r="Q13" s="13">
        <v>6571</v>
      </c>
      <c r="R13" s="33">
        <f>+K13*$R$6</f>
        <v>571.51799999999992</v>
      </c>
      <c r="S13" s="32">
        <f>+K13+R13</f>
        <v>1524.0479999999998</v>
      </c>
    </row>
    <row r="14" spans="1:19" x14ac:dyDescent="0.25">
      <c r="A14" s="34" t="s">
        <v>28</v>
      </c>
      <c r="B14" s="42">
        <v>1848.63</v>
      </c>
      <c r="C14" s="27">
        <f t="shared" si="1"/>
        <v>0</v>
      </c>
      <c r="D14" s="4">
        <v>2120</v>
      </c>
      <c r="F14" s="41"/>
      <c r="G14" s="41"/>
      <c r="H14" s="37">
        <f t="shared" si="0"/>
        <v>1848.63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24</v>
      </c>
      <c r="C15" s="27">
        <f t="shared" si="1"/>
        <v>0</v>
      </c>
      <c r="D15" s="4">
        <v>6580</v>
      </c>
      <c r="F15" s="44">
        <v>1.2</v>
      </c>
      <c r="G15" s="44">
        <v>7.2</v>
      </c>
      <c r="H15" s="37">
        <f t="shared" si="0"/>
        <v>15.600000000000001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/>
    </row>
    <row r="16" spans="1:19" ht="18.75" thickBot="1" x14ac:dyDescent="0.3">
      <c r="A16" s="34" t="s">
        <v>33</v>
      </c>
      <c r="B16" s="51">
        <v>69.28</v>
      </c>
      <c r="C16" s="27">
        <f t="shared" si="1"/>
        <v>0</v>
      </c>
      <c r="D16" s="7">
        <v>2120</v>
      </c>
      <c r="F16" s="44">
        <v>3.69</v>
      </c>
      <c r="G16" s="44">
        <v>20.38</v>
      </c>
      <c r="H16" s="37">
        <f t="shared" si="0"/>
        <v>45.210000000000008</v>
      </c>
      <c r="I16" s="52">
        <v>1</v>
      </c>
      <c r="J16" s="10">
        <v>2120</v>
      </c>
      <c r="K16" s="21">
        <f>-H16</f>
        <v>-45.210000000000008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-27.126000000000005</v>
      </c>
      <c r="S16" s="32">
        <f>+K16+R16</f>
        <v>-72.336000000000013</v>
      </c>
    </row>
    <row r="17" spans="1:26" x14ac:dyDescent="0.25">
      <c r="A17" s="34" t="s">
        <v>35</v>
      </c>
      <c r="B17" s="53">
        <v>24</v>
      </c>
      <c r="C17" s="27">
        <f t="shared" si="1"/>
        <v>0</v>
      </c>
      <c r="D17" s="54">
        <v>1830</v>
      </c>
      <c r="F17" s="41"/>
      <c r="G17" s="55"/>
      <c r="H17" s="37">
        <f t="shared" si="0"/>
        <v>24</v>
      </c>
      <c r="I17" s="12">
        <v>1</v>
      </c>
      <c r="J17" s="13">
        <v>1830</v>
      </c>
      <c r="K17" s="56">
        <f>ROUND(-H20-H27-H17-H18-H21-H26-H28,2)</f>
        <v>-2322.54</v>
      </c>
      <c r="M17" s="5" t="s">
        <v>36</v>
      </c>
      <c r="P17" s="5">
        <v>1</v>
      </c>
      <c r="Q17" s="13">
        <v>1830</v>
      </c>
      <c r="R17" s="33">
        <f>+K17*$R$6</f>
        <v>-1393.5239999999999</v>
      </c>
      <c r="S17" s="32">
        <f>+K17+R17</f>
        <v>-3716.0639999999999</v>
      </c>
    </row>
    <row r="18" spans="1:26" x14ac:dyDescent="0.25">
      <c r="A18" s="34" t="s">
        <v>37</v>
      </c>
      <c r="B18" s="57">
        <v>59.88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0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57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273.89</v>
      </c>
      <c r="M19" s="5" t="s">
        <v>40</v>
      </c>
      <c r="P19" s="5">
        <v>1</v>
      </c>
      <c r="Q19" s="13">
        <v>6300</v>
      </c>
      <c r="R19" s="33">
        <f>+K19*$R$6</f>
        <v>164.33399999999997</v>
      </c>
      <c r="S19" s="32">
        <f>+K19+R19</f>
        <v>438.22399999999993</v>
      </c>
    </row>
    <row r="20" spans="1:26" x14ac:dyDescent="0.25">
      <c r="A20" s="34" t="s">
        <v>41</v>
      </c>
      <c r="B20" s="57">
        <v>1917.59</v>
      </c>
      <c r="C20" s="27">
        <f t="shared" si="1"/>
        <v>0</v>
      </c>
      <c r="D20" s="4">
        <v>1830</v>
      </c>
      <c r="F20" s="41"/>
      <c r="G20" s="44"/>
      <c r="H20" s="37">
        <f t="shared" si="0"/>
        <v>1917.59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57">
        <v>240.36</v>
      </c>
      <c r="C21" s="27">
        <f t="shared" si="1"/>
        <v>0</v>
      </c>
      <c r="D21" s="54">
        <v>1830</v>
      </c>
      <c r="F21" s="41"/>
      <c r="G21" s="44"/>
      <c r="H21" s="37">
        <f t="shared" si="0"/>
        <v>240.36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57">
        <v>692.31</v>
      </c>
      <c r="C22" s="27">
        <f t="shared" si="1"/>
        <v>0</v>
      </c>
      <c r="F22" s="41"/>
      <c r="G22" s="55"/>
      <c r="H22" s="37">
        <f t="shared" si="0"/>
        <v>692.31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57">
        <v>1852.03</v>
      </c>
      <c r="C23" s="27">
        <f t="shared" si="1"/>
        <v>0</v>
      </c>
      <c r="D23" s="4">
        <v>6570</v>
      </c>
      <c r="F23" s="44">
        <v>168.71</v>
      </c>
      <c r="G23" s="44">
        <v>641.82000000000005</v>
      </c>
      <c r="H23" s="37">
        <f t="shared" si="0"/>
        <v>1041.5</v>
      </c>
      <c r="I23" s="12"/>
      <c r="J23" s="13"/>
      <c r="K23" s="59">
        <f>SUM(K7:K22)</f>
        <v>25877.389999999996</v>
      </c>
      <c r="N23" s="1">
        <v>2040</v>
      </c>
      <c r="P23" s="5">
        <v>1</v>
      </c>
      <c r="Q23" s="13">
        <v>2040</v>
      </c>
      <c r="R23" s="60">
        <f>SUM(R7:R22)</f>
        <v>15526.434000000001</v>
      </c>
      <c r="S23" s="6"/>
    </row>
    <row r="24" spans="1:26" ht="18.75" thickTop="1" x14ac:dyDescent="0.25">
      <c r="A24" s="34" t="s">
        <v>48</v>
      </c>
      <c r="B24" s="57">
        <v>409.58</v>
      </c>
      <c r="C24" s="27">
        <f t="shared" si="1"/>
        <v>0</v>
      </c>
      <c r="F24" s="41"/>
      <c r="G24" s="44"/>
      <c r="H24" s="37">
        <f t="shared" si="0"/>
        <v>409.58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57">
        <v>285.39</v>
      </c>
      <c r="C25" s="27">
        <f t="shared" si="1"/>
        <v>0</v>
      </c>
      <c r="F25" s="44">
        <v>101.92</v>
      </c>
      <c r="G25" s="44"/>
      <c r="H25" s="37">
        <f t="shared" si="0"/>
        <v>183.46999999999997</v>
      </c>
      <c r="I25" s="61">
        <v>2</v>
      </c>
      <c r="J25" s="62"/>
      <c r="K25" s="32"/>
      <c r="Q25" s="62"/>
      <c r="R25" s="33"/>
    </row>
    <row r="26" spans="1:26" x14ac:dyDescent="0.25">
      <c r="A26" s="34" t="s">
        <v>50</v>
      </c>
      <c r="B26" s="57">
        <v>78.58</v>
      </c>
      <c r="C26" s="27">
        <f t="shared" si="1"/>
        <v>0</v>
      </c>
      <c r="D26" s="54">
        <v>1830</v>
      </c>
      <c r="F26" s="41"/>
      <c r="G26" s="55"/>
      <c r="H26" s="37">
        <f t="shared" si="0"/>
        <v>78.58</v>
      </c>
      <c r="I26" s="12">
        <v>2</v>
      </c>
      <c r="J26" s="13">
        <v>6500</v>
      </c>
      <c r="K26" s="32">
        <f>G7</f>
        <v>17752.05</v>
      </c>
      <c r="M26" s="5" t="s">
        <v>51</v>
      </c>
      <c r="O26" s="32"/>
      <c r="P26" s="5">
        <v>2</v>
      </c>
      <c r="Q26" s="13">
        <v>6500</v>
      </c>
      <c r="R26" s="33">
        <f>+K26*R6</f>
        <v>10651.23</v>
      </c>
      <c r="S26" s="32">
        <f t="shared" ref="S26:S38" si="2">+K26+R26</f>
        <v>28403.279999999999</v>
      </c>
      <c r="X26" s="32"/>
    </row>
    <row r="27" spans="1:26" x14ac:dyDescent="0.25">
      <c r="A27" s="34" t="s">
        <v>52</v>
      </c>
      <c r="B27" s="57"/>
      <c r="C27" s="63">
        <f t="shared" si="1"/>
        <v>0</v>
      </c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>
        <f t="shared" si="2"/>
        <v>0</v>
      </c>
      <c r="Z27" s="5" t="s">
        <v>54</v>
      </c>
    </row>
    <row r="28" spans="1:26" ht="18.75" thickBot="1" x14ac:dyDescent="0.3">
      <c r="A28" s="34" t="s">
        <v>55</v>
      </c>
      <c r="B28" s="64">
        <v>91.13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62.009999999999991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>
        <f t="shared" si="2"/>
        <v>0</v>
      </c>
    </row>
    <row r="29" spans="1:26" x14ac:dyDescent="0.25">
      <c r="A29" s="34" t="s">
        <v>57</v>
      </c>
      <c r="B29" s="57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1297.3800000000001</v>
      </c>
      <c r="M29" s="39" t="s">
        <v>21</v>
      </c>
      <c r="P29" s="5">
        <v>2</v>
      </c>
      <c r="Q29" s="13">
        <v>6580</v>
      </c>
      <c r="R29" s="33">
        <f>+K29*R6</f>
        <v>778.428</v>
      </c>
      <c r="S29" s="32">
        <f t="shared" si="2"/>
        <v>2075.808</v>
      </c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>
        <f t="shared" si="2"/>
        <v>0</v>
      </c>
    </row>
    <row r="31" spans="1:26" x14ac:dyDescent="0.25">
      <c r="A31" s="34" t="s">
        <v>59</v>
      </c>
      <c r="B31" s="57"/>
      <c r="C31" s="27">
        <f t="shared" si="1"/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174.77</v>
      </c>
      <c r="M31" s="5" t="s">
        <v>25</v>
      </c>
      <c r="P31" s="5">
        <v>2</v>
      </c>
      <c r="Q31" s="13">
        <v>6570</v>
      </c>
      <c r="R31" s="33">
        <f>+K31*$R$6</f>
        <v>104.86200000000001</v>
      </c>
      <c r="S31" s="32">
        <f t="shared" si="2"/>
        <v>279.63200000000001</v>
      </c>
    </row>
    <row r="32" spans="1:26" ht="18.75" thickBot="1" x14ac:dyDescent="0.3">
      <c r="A32" s="34" t="s">
        <v>60</v>
      </c>
      <c r="B32" s="71">
        <f>B7+B8++B10-B11-B12-B13-B14-B15-B16-B19-B29-B20-B26-B25-B28-B17-B21-B18-B23-B22-B24+B30+B31</f>
        <v>33447.760000000009</v>
      </c>
      <c r="C32" s="72">
        <f t="shared" si="1"/>
        <v>0</v>
      </c>
      <c r="D32" s="71"/>
      <c r="E32" s="71"/>
      <c r="F32" s="71">
        <f t="shared" ref="F32:H32" si="3">F7+F8+F10-F11-F12-F13-F14-F15-F16-F19-F29-F20-F26-F25-F28-F17-F21-F18-F23-F22-F24+F30+F31</f>
        <v>3599.68</v>
      </c>
      <c r="G32" s="71">
        <f t="shared" si="3"/>
        <v>17441.23</v>
      </c>
      <c r="H32" s="71">
        <f t="shared" si="3"/>
        <v>12406.85</v>
      </c>
      <c r="I32" s="12">
        <v>2</v>
      </c>
      <c r="J32" s="13">
        <v>6571</v>
      </c>
      <c r="K32" s="32">
        <f>G55</f>
        <v>379.77</v>
      </c>
      <c r="M32" s="43" t="s">
        <v>27</v>
      </c>
      <c r="P32" s="5">
        <v>2</v>
      </c>
      <c r="Q32" s="13">
        <v>6571</v>
      </c>
      <c r="R32" s="33">
        <f>+K32*$R$6</f>
        <v>227.86199999999999</v>
      </c>
      <c r="S32" s="32">
        <f t="shared" si="2"/>
        <v>607.63199999999995</v>
      </c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>
        <f t="shared" si="2"/>
        <v>0</v>
      </c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/>
      <c r="S34" s="32">
        <f t="shared" si="2"/>
        <v>0</v>
      </c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-20.38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-12.228</v>
      </c>
      <c r="S35" s="32">
        <f t="shared" si="2"/>
        <v>-32.607999999999997</v>
      </c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-78.25</v>
      </c>
      <c r="M36" s="5" t="s">
        <v>36</v>
      </c>
      <c r="O36" s="1"/>
      <c r="P36" s="5">
        <v>2</v>
      </c>
      <c r="Q36" s="13">
        <v>1830</v>
      </c>
      <c r="R36" s="33">
        <f>+K36*$R$6</f>
        <v>-46.949999999999996</v>
      </c>
      <c r="S36" s="32">
        <f t="shared" si="2"/>
        <v>-125.19999999999999</v>
      </c>
    </row>
    <row r="37" spans="1:22" x14ac:dyDescent="0.25">
      <c r="A37" s="25" t="s">
        <v>66</v>
      </c>
      <c r="B37" s="80">
        <f>B11</f>
        <v>2665.21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2665.21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>
        <f t="shared" si="2"/>
        <v>0</v>
      </c>
      <c r="V37" s="32"/>
    </row>
    <row r="38" spans="1:22" x14ac:dyDescent="0.25">
      <c r="A38" s="34" t="s">
        <v>67</v>
      </c>
      <c r="B38" s="83">
        <f>B12</f>
        <v>623.34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623.34</v>
      </c>
      <c r="I38" s="12">
        <v>2</v>
      </c>
      <c r="J38" s="13">
        <v>6300</v>
      </c>
      <c r="K38" s="84">
        <f>ROUND(G70,2)</f>
        <v>136.94999999999999</v>
      </c>
      <c r="M38" s="5" t="s">
        <v>40</v>
      </c>
      <c r="O38" s="1"/>
      <c r="P38" s="5">
        <v>2</v>
      </c>
      <c r="Q38" s="13">
        <v>6300</v>
      </c>
      <c r="R38" s="33">
        <f>+K38*$R$6</f>
        <v>82.169999999999987</v>
      </c>
      <c r="S38" s="32">
        <f t="shared" si="2"/>
        <v>219.11999999999998</v>
      </c>
    </row>
    <row r="39" spans="1:22" x14ac:dyDescent="0.25">
      <c r="A39" s="34" t="s">
        <v>68</v>
      </c>
      <c r="B39" s="83">
        <f>B13</f>
        <v>3326.72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3326.72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1848.63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1848.63</v>
      </c>
      <c r="I40" s="85"/>
      <c r="K40" s="86">
        <f>SUM(K26:K39)</f>
        <v>19642.29</v>
      </c>
      <c r="N40" s="1">
        <v>2040</v>
      </c>
      <c r="O40" s="1"/>
      <c r="P40" s="5">
        <v>2</v>
      </c>
      <c r="Q40" s="5">
        <v>2040</v>
      </c>
      <c r="R40" s="86">
        <f>SUM(R26:R39)</f>
        <v>11785.373999999998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2665.23</v>
      </c>
      <c r="C42" s="27">
        <f>B42-F42-G42-H42</f>
        <v>0</v>
      </c>
      <c r="D42" s="4">
        <v>6580</v>
      </c>
      <c r="F42" s="90">
        <v>143.11000000000001</v>
      </c>
      <c r="G42" s="90">
        <v>771.91</v>
      </c>
      <c r="H42" s="37">
        <f>B42-F42-G42</f>
        <v>1750.21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623.32000000000005</v>
      </c>
      <c r="C43" s="27">
        <f>B43-F43-G43-H43</f>
        <v>0</v>
      </c>
      <c r="D43" s="4">
        <v>6580</v>
      </c>
      <c r="F43" s="90">
        <v>33.47</v>
      </c>
      <c r="G43" s="90">
        <v>180.53</v>
      </c>
      <c r="H43" s="37">
        <f>B43-F43-G43</f>
        <v>409.32000000000005</v>
      </c>
      <c r="I43" s="12">
        <v>3</v>
      </c>
      <c r="J43" s="13">
        <v>6500</v>
      </c>
      <c r="K43" s="92">
        <f>F7</f>
        <v>3885.95</v>
      </c>
      <c r="M43" s="5" t="s">
        <v>71</v>
      </c>
      <c r="O43" s="1"/>
      <c r="P43" s="5">
        <v>3</v>
      </c>
      <c r="Q43" s="13">
        <v>6500</v>
      </c>
      <c r="R43" s="33">
        <f>+K43*$R$6</f>
        <v>2331.5699999999997</v>
      </c>
      <c r="S43" s="32">
        <f>+K43+R43</f>
        <v>6217.5199999999995</v>
      </c>
    </row>
    <row r="44" spans="1:22" x14ac:dyDescent="0.25">
      <c r="A44" s="34" t="s">
        <v>72</v>
      </c>
      <c r="B44" s="89">
        <v>177.31</v>
      </c>
      <c r="C44" s="27">
        <f>B44-F44-G44-H44</f>
        <v>0</v>
      </c>
      <c r="D44" s="4">
        <v>6580</v>
      </c>
      <c r="F44" s="90">
        <v>13.85</v>
      </c>
      <c r="G44" s="91">
        <v>48.76</v>
      </c>
      <c r="H44" s="37">
        <f>B44-G44-F44</f>
        <v>114.70000000000002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1097.83</v>
      </c>
      <c r="C45" s="27">
        <f>B45-F45-G45-H45</f>
        <v>0</v>
      </c>
      <c r="D45" s="4">
        <v>6580</v>
      </c>
      <c r="F45" s="93">
        <v>68.09</v>
      </c>
      <c r="G45" s="94">
        <v>303.38</v>
      </c>
      <c r="H45" s="37">
        <f>B45-G45-F45</f>
        <v>726.3599999999999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29.11</v>
      </c>
      <c r="C46" s="27">
        <f>B46-F46-G46-H46</f>
        <v>0</v>
      </c>
      <c r="F46" s="95"/>
      <c r="G46" s="96"/>
      <c r="H46" s="37">
        <f>B46-G46-F46</f>
        <v>29.11</v>
      </c>
      <c r="I46" s="12">
        <v>3</v>
      </c>
      <c r="J46" s="13">
        <v>6580</v>
      </c>
      <c r="K46" s="32">
        <f>ROUND($F$42+$F$43+$F$44+$F$45-$F$15+$F$46,2)</f>
        <v>257.32</v>
      </c>
      <c r="M46" s="39" t="s">
        <v>21</v>
      </c>
      <c r="O46" s="1"/>
      <c r="P46" s="5">
        <v>3</v>
      </c>
      <c r="Q46" s="13">
        <v>6580</v>
      </c>
      <c r="R46" s="33">
        <f>+K46*$R$6</f>
        <v>154.392</v>
      </c>
      <c r="S46" s="32">
        <f>+K46+R46</f>
        <v>411.71199999999999</v>
      </c>
    </row>
    <row r="47" spans="1:22" ht="18.75" thickBot="1" x14ac:dyDescent="0.3">
      <c r="B47" s="97">
        <f>SUM(B42:B46)</f>
        <v>4592.8</v>
      </c>
      <c r="C47" s="27">
        <f>B48-F47-G47-H47</f>
        <v>0</v>
      </c>
      <c r="D47" s="7"/>
      <c r="E47" s="1"/>
      <c r="F47" s="97">
        <f>SUM(F37:F46)</f>
        <v>258.52</v>
      </c>
      <c r="G47" s="97">
        <f>SUM(G37:G46)</f>
        <v>1304.58</v>
      </c>
      <c r="H47" s="71">
        <f>SUM(H37:H46)</f>
        <v>11493.600000000002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13056.7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45.65</v>
      </c>
      <c r="M48" s="5" t="s">
        <v>40</v>
      </c>
      <c r="O48" s="1"/>
      <c r="P48" s="5">
        <v>3</v>
      </c>
      <c r="Q48" s="13">
        <v>6300</v>
      </c>
      <c r="R48" s="33">
        <f>+K48*$R$6</f>
        <v>27.389999999999997</v>
      </c>
      <c r="S48" s="32">
        <f>+K48+R48</f>
        <v>73.039999999999992</v>
      </c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-3.69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-2.214</v>
      </c>
      <c r="S50" s="32">
        <f>+K50+R50</f>
        <v>-5.9039999999999999</v>
      </c>
    </row>
    <row r="51" spans="1:23" x14ac:dyDescent="0.25">
      <c r="A51" s="25" t="s">
        <v>78</v>
      </c>
      <c r="B51" s="80">
        <f>B23</f>
        <v>1852.03</v>
      </c>
      <c r="C51" s="106"/>
      <c r="D51" s="28">
        <v>6570</v>
      </c>
      <c r="E51" s="29"/>
      <c r="F51" s="81">
        <f>F23</f>
        <v>168.71</v>
      </c>
      <c r="G51" s="107">
        <f>G23</f>
        <v>641.82000000000005</v>
      </c>
      <c r="H51" s="31">
        <f>B51-G51-F51</f>
        <v>1041.5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692.31</v>
      </c>
      <c r="C52" s="27"/>
      <c r="F52" s="6">
        <f>F22</f>
        <v>0</v>
      </c>
      <c r="G52" s="88">
        <f>G22</f>
        <v>0</v>
      </c>
      <c r="H52" s="37">
        <f>B52-F52-G52</f>
        <v>692.31</v>
      </c>
      <c r="I52" s="12">
        <v>3</v>
      </c>
      <c r="J52" s="13">
        <v>6570</v>
      </c>
      <c r="K52" s="32">
        <f>-$F$23+$F$51+$F$58</f>
        <v>58.26</v>
      </c>
      <c r="M52" s="5" t="s">
        <v>25</v>
      </c>
      <c r="O52" s="1"/>
      <c r="P52" s="5">
        <v>3</v>
      </c>
      <c r="Q52" s="13">
        <v>6570</v>
      </c>
      <c r="R52" s="33">
        <f>+K52</f>
        <v>58.26</v>
      </c>
      <c r="S52" s="32">
        <f>+K52+R52</f>
        <v>116.52</v>
      </c>
    </row>
    <row r="53" spans="1:23" x14ac:dyDescent="0.25">
      <c r="A53" s="34" t="s">
        <v>60</v>
      </c>
      <c r="B53" s="108">
        <f>SUM(B51:B52)</f>
        <v>2544.34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96.41</v>
      </c>
      <c r="M53" s="5" t="s">
        <v>27</v>
      </c>
      <c r="O53" s="1"/>
      <c r="P53" s="5">
        <v>3</v>
      </c>
      <c r="Q53" s="13">
        <v>6571</v>
      </c>
      <c r="R53" s="33">
        <f>+K53</f>
        <v>96.41</v>
      </c>
      <c r="S53" s="32">
        <f>+K53+R53</f>
        <v>192.82</v>
      </c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1428.71</v>
      </c>
      <c r="C55" s="111"/>
      <c r="D55" s="4">
        <v>6571</v>
      </c>
      <c r="F55" s="90">
        <v>96.41</v>
      </c>
      <c r="G55" s="91">
        <v>379.77</v>
      </c>
      <c r="H55" s="37">
        <f>B55-F55-G55</f>
        <v>952.53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1715.1</v>
      </c>
      <c r="C56" s="111"/>
      <c r="D56" s="4">
        <v>6571</v>
      </c>
      <c r="F56" s="93"/>
      <c r="G56" s="93"/>
      <c r="H56" s="37">
        <f>B56-F56-G56</f>
        <v>1715.1</v>
      </c>
      <c r="I56" s="12"/>
      <c r="J56" s="13"/>
      <c r="K56" s="86">
        <f>SUM(K43:K55)</f>
        <v>4329.1499999999996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2665.8079999999995</v>
      </c>
    </row>
    <row r="57" spans="1:23" ht="18.75" thickTop="1" x14ac:dyDescent="0.25">
      <c r="A57" s="34" t="s">
        <v>82</v>
      </c>
      <c r="B57" s="83"/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582.55999999999995</v>
      </c>
      <c r="C58" s="111"/>
      <c r="D58" s="4">
        <v>6570</v>
      </c>
      <c r="F58" s="88">
        <f>ROUND(B58*10%,2)</f>
        <v>58.26</v>
      </c>
      <c r="G58" s="88">
        <f>ROUND(B58*30%,2)</f>
        <v>174.77</v>
      </c>
      <c r="H58" s="37">
        <f>ROUND(B58-F58-G58,2)</f>
        <v>349.53</v>
      </c>
      <c r="I58" s="52">
        <v>1</v>
      </c>
      <c r="J58" s="10">
        <v>1012</v>
      </c>
      <c r="K58" s="113">
        <f>-(K23+K40+K56+K74+K84+K90)-K59</f>
        <v>-52211.53</v>
      </c>
      <c r="M58" s="1"/>
      <c r="N58" s="32">
        <f>+'[1]1012-CNB Checking'!$F$94</f>
        <v>52211.53</v>
      </c>
      <c r="O58" s="114">
        <f>+K58+N58</f>
        <v>0</v>
      </c>
      <c r="P58" s="32"/>
      <c r="R58" s="33"/>
    </row>
    <row r="59" spans="1:23" ht="18.75" thickTop="1" x14ac:dyDescent="0.25">
      <c r="A59" s="34" t="s">
        <v>48</v>
      </c>
      <c r="B59" s="83">
        <f>B24</f>
        <v>409.58</v>
      </c>
      <c r="C59" s="27"/>
      <c r="F59" s="88">
        <f>F24</f>
        <v>0</v>
      </c>
      <c r="G59" s="88">
        <f>G24</f>
        <v>0</v>
      </c>
      <c r="H59" s="37">
        <f>B59-F59-G59</f>
        <v>409.58</v>
      </c>
      <c r="I59" s="52">
        <v>1</v>
      </c>
      <c r="J59" s="10"/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285.39</v>
      </c>
      <c r="C60" s="27"/>
      <c r="F60" s="88">
        <f>F25</f>
        <v>101.92</v>
      </c>
      <c r="G60" s="88">
        <f>G25</f>
        <v>0</v>
      </c>
      <c r="H60" s="37">
        <f>B60-F60-G60</f>
        <v>183.46999999999997</v>
      </c>
      <c r="I60" s="115" t="s">
        <v>85</v>
      </c>
      <c r="K60" s="32"/>
      <c r="O60" s="1"/>
      <c r="R60" s="33"/>
    </row>
    <row r="61" spans="1:23" ht="18.75" thickBot="1" x14ac:dyDescent="0.3">
      <c r="A61" s="34" t="s">
        <v>60</v>
      </c>
      <c r="B61" s="116">
        <f>B53+B59+B60+B55+B58+B57</f>
        <v>5250.58</v>
      </c>
      <c r="C61" s="117"/>
      <c r="D61" s="7"/>
      <c r="E61" s="1"/>
      <c r="F61" s="71">
        <f>F51+F55</f>
        <v>265.12</v>
      </c>
      <c r="G61" s="71">
        <f>G51+G55</f>
        <v>1021.59</v>
      </c>
      <c r="H61" s="118">
        <f>B61-G61</f>
        <v>4228.99</v>
      </c>
      <c r="I61" s="115">
        <v>1</v>
      </c>
      <c r="J61" s="119">
        <v>1831</v>
      </c>
      <c r="K61" s="120">
        <v>1360</v>
      </c>
      <c r="M61" s="5" t="s">
        <v>42</v>
      </c>
      <c r="O61" s="121"/>
      <c r="P61" s="5">
        <v>1</v>
      </c>
      <c r="Q61" s="5">
        <v>1831</v>
      </c>
      <c r="R61" s="33"/>
      <c r="S61" s="32">
        <f t="shared" ref="S61:S67" si="4">+K61+R61</f>
        <v>1360</v>
      </c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>
        <v>402.14</v>
      </c>
      <c r="M62" s="5" t="s">
        <v>86</v>
      </c>
      <c r="O62" s="1"/>
      <c r="P62" s="5">
        <v>1</v>
      </c>
      <c r="Q62" s="5">
        <v>6551</v>
      </c>
      <c r="R62" s="33"/>
      <c r="S62" s="32">
        <f t="shared" si="4"/>
        <v>402.14</v>
      </c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5">
        <v>1</v>
      </c>
      <c r="Q63" s="5">
        <v>6551</v>
      </c>
      <c r="R63" s="33"/>
      <c r="S63" s="32">
        <f t="shared" si="4"/>
        <v>0</v>
      </c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5">
        <v>1</v>
      </c>
      <c r="Q64" s="5">
        <v>6630</v>
      </c>
      <c r="R64" s="33"/>
      <c r="S64" s="32">
        <f t="shared" si="4"/>
        <v>0</v>
      </c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>
        <f>+'01-10-2019'!K65</f>
        <v>34.619999999999997</v>
      </c>
      <c r="M65" s="5" t="s">
        <v>90</v>
      </c>
      <c r="O65" s="1"/>
      <c r="P65" s="5">
        <v>1</v>
      </c>
      <c r="Q65" s="5">
        <v>6630</v>
      </c>
      <c r="R65" s="33"/>
      <c r="S65" s="32">
        <f t="shared" si="4"/>
        <v>34.619999999999997</v>
      </c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469.4-340.29</f>
        <v>129.10999999999996</v>
      </c>
      <c r="M66" s="5" t="s">
        <v>91</v>
      </c>
      <c r="O66" s="1"/>
      <c r="P66" s="5">
        <v>1</v>
      </c>
      <c r="Q66" s="5">
        <v>6565</v>
      </c>
      <c r="R66" s="33"/>
      <c r="S66" s="32">
        <f t="shared" si="4"/>
        <v>129.10999999999996</v>
      </c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5">
        <v>1</v>
      </c>
      <c r="Q67" s="5">
        <v>6560</v>
      </c>
      <c r="R67" s="33"/>
      <c r="S67" s="32">
        <f t="shared" si="4"/>
        <v>0</v>
      </c>
    </row>
    <row r="68" spans="1:20" x14ac:dyDescent="0.25">
      <c r="F68" s="6"/>
      <c r="I68" s="85"/>
      <c r="K68" s="120"/>
      <c r="O68" s="1"/>
      <c r="R68" s="33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33"/>
    </row>
    <row r="70" spans="1:20" x14ac:dyDescent="0.25">
      <c r="A70" s="25" t="s">
        <v>94</v>
      </c>
      <c r="B70" s="26">
        <f>454.95+1.54</f>
        <v>456.49</v>
      </c>
      <c r="C70" s="106"/>
      <c r="D70" s="28">
        <v>6300</v>
      </c>
      <c r="E70" s="29"/>
      <c r="F70" s="81">
        <f>B70*F69</f>
        <v>45.649000000000001</v>
      </c>
      <c r="G70" s="107">
        <f>B70*G69</f>
        <v>136.947</v>
      </c>
      <c r="H70" s="31">
        <f>B70*H69-0</f>
        <v>273.89400000000001</v>
      </c>
      <c r="I70" s="85"/>
      <c r="K70" s="120"/>
      <c r="O70" s="1"/>
      <c r="R70" s="33"/>
      <c r="T70" s="32"/>
    </row>
    <row r="71" spans="1:20" ht="21" thickBot="1" x14ac:dyDescent="0.35">
      <c r="A71" s="34" t="s">
        <v>60</v>
      </c>
      <c r="B71" s="116">
        <f>SUM(B70)</f>
        <v>456.49</v>
      </c>
      <c r="C71" s="117"/>
      <c r="D71" s="7"/>
      <c r="E71" s="1"/>
      <c r="F71" s="71">
        <f>F70</f>
        <v>45.649000000000001</v>
      </c>
      <c r="G71" s="71">
        <f>G70</f>
        <v>136.947</v>
      </c>
      <c r="H71" s="118">
        <f>H70</f>
        <v>273.89400000000001</v>
      </c>
      <c r="I71" s="85"/>
      <c r="J71" s="85"/>
      <c r="K71" s="120"/>
      <c r="M71" s="125"/>
      <c r="O71" s="1"/>
      <c r="R71" s="33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33"/>
    </row>
    <row r="73" spans="1:20" ht="18.75" thickBot="1" x14ac:dyDescent="0.3">
      <c r="F73" s="6"/>
      <c r="I73" s="85"/>
      <c r="K73" s="127"/>
      <c r="O73" s="1"/>
      <c r="R73" s="33"/>
    </row>
    <row r="74" spans="1:20" ht="18.75" thickBot="1" x14ac:dyDescent="0.3">
      <c r="A74" s="1" t="s">
        <v>96</v>
      </c>
      <c r="B74" s="128">
        <f>ROUND((B71+B66+B61+B48+B32),2)</f>
        <v>52211.53</v>
      </c>
      <c r="F74" s="6"/>
      <c r="I74" s="85" t="s">
        <v>97</v>
      </c>
      <c r="K74" s="129">
        <f>SUM(K61:K73)</f>
        <v>1925.8699999999997</v>
      </c>
      <c r="O74" s="1"/>
      <c r="R74" s="33"/>
    </row>
    <row r="75" spans="1:20" ht="18.75" thickBot="1" x14ac:dyDescent="0.3">
      <c r="F75" s="6"/>
      <c r="I75" s="85">
        <v>2</v>
      </c>
      <c r="J75" s="119" t="s">
        <v>98</v>
      </c>
      <c r="K75" s="120"/>
      <c r="M75" s="5" t="s">
        <v>86</v>
      </c>
      <c r="O75" s="1"/>
      <c r="P75" s="5">
        <v>2</v>
      </c>
      <c r="Q75" s="119">
        <v>6551</v>
      </c>
      <c r="R75" s="33"/>
      <c r="S75" s="32">
        <f t="shared" ref="S75:S80" si="5">+K75+R75</f>
        <v>0</v>
      </c>
    </row>
    <row r="76" spans="1:20" x14ac:dyDescent="0.25">
      <c r="A76" s="129" t="s">
        <v>99</v>
      </c>
      <c r="B76" s="26">
        <v>31732.66</v>
      </c>
      <c r="C76" s="130"/>
      <c r="D76" s="131" t="s">
        <v>100</v>
      </c>
      <c r="E76" s="6"/>
      <c r="F76" s="6"/>
      <c r="G76" s="132">
        <v>31732.66</v>
      </c>
      <c r="H76" s="6"/>
      <c r="I76" s="85">
        <v>2</v>
      </c>
      <c r="J76" s="119">
        <v>1831</v>
      </c>
      <c r="K76" s="120">
        <v>85</v>
      </c>
      <c r="M76" s="5" t="s">
        <v>42</v>
      </c>
      <c r="O76" s="1"/>
      <c r="P76" s="5">
        <v>2</v>
      </c>
      <c r="Q76" s="119">
        <v>6551</v>
      </c>
      <c r="R76" s="33"/>
      <c r="S76" s="32">
        <f t="shared" si="5"/>
        <v>85</v>
      </c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>
        <f>+'01-10-2019'!K77</f>
        <v>11.54</v>
      </c>
      <c r="M77" s="5" t="s">
        <v>89</v>
      </c>
      <c r="O77" s="1"/>
      <c r="P77" s="5">
        <v>2</v>
      </c>
      <c r="Q77" s="5">
        <v>6630</v>
      </c>
      <c r="R77" s="33"/>
      <c r="S77" s="32">
        <f t="shared" si="5"/>
        <v>11.54</v>
      </c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/>
      <c r="M78" s="5" t="s">
        <v>90</v>
      </c>
      <c r="O78" s="1"/>
      <c r="P78" s="5">
        <v>2</v>
      </c>
      <c r="Q78" s="5">
        <v>6630</v>
      </c>
      <c r="R78" s="33"/>
      <c r="S78" s="32">
        <f t="shared" si="5"/>
        <v>0</v>
      </c>
    </row>
    <row r="79" spans="1:20" ht="18.75" thickBot="1" x14ac:dyDescent="0.3">
      <c r="A79" s="134" t="s">
        <v>104</v>
      </c>
      <c r="B79" s="135">
        <f>ROUND(SUM(B76:B78),2)</f>
        <v>31732.66</v>
      </c>
      <c r="C79" s="130"/>
      <c r="D79" s="131"/>
      <c r="E79" s="6"/>
      <c r="F79" s="6"/>
      <c r="G79" s="129">
        <f>SUM(G76:G78)</f>
        <v>31732.66</v>
      </c>
      <c r="H79" s="6" t="s">
        <v>105</v>
      </c>
      <c r="I79" s="85">
        <v>2</v>
      </c>
      <c r="J79" s="5">
        <v>6551</v>
      </c>
      <c r="K79" s="120">
        <v>340.29</v>
      </c>
      <c r="M79" s="5" t="s">
        <v>91</v>
      </c>
      <c r="O79" s="1"/>
      <c r="P79" s="5">
        <v>2</v>
      </c>
      <c r="Q79" s="5">
        <v>6565</v>
      </c>
      <c r="R79" s="33"/>
      <c r="S79" s="32">
        <f t="shared" si="5"/>
        <v>340.29</v>
      </c>
    </row>
    <row r="80" spans="1:20" ht="18.75" thickBot="1" x14ac:dyDescent="0.3">
      <c r="A80" s="1" t="s">
        <v>106</v>
      </c>
      <c r="B80" s="26">
        <v>51755.040000000001</v>
      </c>
      <c r="H80" s="128" t="str">
        <f>IF(B79-G79=0,"ok","NO")</f>
        <v>ok</v>
      </c>
      <c r="I80" s="85">
        <v>2</v>
      </c>
      <c r="J80" s="5">
        <v>6012</v>
      </c>
      <c r="K80" s="120"/>
      <c r="M80" s="5" t="s">
        <v>92</v>
      </c>
      <c r="O80" s="1"/>
      <c r="P80" s="5">
        <v>2</v>
      </c>
      <c r="Q80" s="119" t="s">
        <v>107</v>
      </c>
      <c r="R80" s="33"/>
      <c r="S80" s="32">
        <f t="shared" si="5"/>
        <v>0</v>
      </c>
    </row>
    <row r="81" spans="1:19" ht="18.75" thickBot="1" x14ac:dyDescent="0.3">
      <c r="A81" s="1" t="s">
        <v>94</v>
      </c>
      <c r="B81" s="3">
        <f>B66+B71</f>
        <v>456.49</v>
      </c>
      <c r="C81" s="1" t="s">
        <v>108</v>
      </c>
      <c r="G81" s="32">
        <f>+G79-B76</f>
        <v>0</v>
      </c>
      <c r="I81" s="85"/>
      <c r="J81" s="119"/>
      <c r="K81" s="127"/>
      <c r="O81" s="1"/>
      <c r="P81" s="5">
        <v>2</v>
      </c>
      <c r="Q81" s="119" t="s">
        <v>109</v>
      </c>
      <c r="R81" s="33"/>
      <c r="S81" s="32">
        <f>+K83+R81</f>
        <v>0</v>
      </c>
    </row>
    <row r="82" spans="1:19" ht="18.75" thickBot="1" x14ac:dyDescent="0.3">
      <c r="B82" s="3">
        <f>+B80+B81</f>
        <v>52211.53</v>
      </c>
      <c r="C82" s="128" t="str">
        <f>IF(B74=B82,"ok","NO")</f>
        <v>ok</v>
      </c>
      <c r="F82" s="136"/>
      <c r="I82" s="85"/>
      <c r="J82" s="119"/>
      <c r="K82" s="127"/>
      <c r="O82" s="1"/>
      <c r="R82" s="33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</row>
    <row r="84" spans="1:19" x14ac:dyDescent="0.25">
      <c r="G84" s="32"/>
      <c r="I84" s="85"/>
      <c r="K84" s="129">
        <f>SUM(K75:K83)</f>
        <v>436.83000000000004</v>
      </c>
      <c r="O84" s="1"/>
      <c r="P84" s="5">
        <v>3</v>
      </c>
      <c r="Q84" s="5">
        <v>6551</v>
      </c>
      <c r="S84" s="32">
        <f>+K86+R84</f>
        <v>0</v>
      </c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5"/>
      <c r="S85" s="32">
        <f>+K87+R85</f>
        <v>0</v>
      </c>
    </row>
    <row r="86" spans="1:19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5"/>
      <c r="S86" s="32">
        <f>+K88+R86</f>
        <v>0</v>
      </c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112</v>
      </c>
      <c r="N88" s="5"/>
      <c r="O88" s="1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2362.6999999999998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50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9D22-015E-4035-9B65-CB20AECEF2DA}">
  <sheetPr>
    <tabColor rgb="FF00B0F0"/>
    <pageSetUpPr fitToPage="1"/>
  </sheetPr>
  <dimension ref="A2:Y100"/>
  <sheetViews>
    <sheetView zoomScale="70" zoomScaleNormal="70" zoomScalePageLayoutView="70" workbookViewId="0">
      <selection activeCell="K25" sqref="K25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1.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43489</v>
      </c>
      <c r="K2" s="9"/>
      <c r="M2" s="5" t="s">
        <v>1</v>
      </c>
    </row>
    <row r="3" spans="1:24" ht="18.75" thickBot="1" x14ac:dyDescent="0.3">
      <c r="A3" s="10" t="s">
        <v>2</v>
      </c>
      <c r="B3" s="8">
        <v>43465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>
        <f>SUM(F7:H7)</f>
        <v>14621.880000000001</v>
      </c>
      <c r="C7" s="27"/>
      <c r="D7" s="28"/>
      <c r="E7" s="29"/>
      <c r="F7" s="30">
        <v>1092.19</v>
      </c>
      <c r="G7" s="146">
        <v>5276.56</v>
      </c>
      <c r="H7" s="31">
        <f>7753.13+500</f>
        <v>8253.130000000001</v>
      </c>
      <c r="I7" s="12">
        <v>1</v>
      </c>
      <c r="J7" s="13">
        <v>6510</v>
      </c>
      <c r="K7" s="32">
        <f>+H7</f>
        <v>8253.130000000001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>
        <f>SUM(F8:H8)</f>
        <v>0</v>
      </c>
      <c r="C8" s="27"/>
      <c r="F8" s="127"/>
      <c r="G8" s="36"/>
      <c r="H8" s="37"/>
      <c r="I8" s="12">
        <v>1</v>
      </c>
      <c r="J8" s="13">
        <v>6505</v>
      </c>
      <c r="K8" s="32">
        <f>+H8</f>
        <v>0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>
        <f>SUM(F9:H9)</f>
        <v>3119.83</v>
      </c>
      <c r="C9" s="27"/>
      <c r="D9" s="4">
        <v>6500</v>
      </c>
      <c r="F9" s="127"/>
      <c r="G9" s="36">
        <v>2715.99</v>
      </c>
      <c r="H9" s="37">
        <v>403.84</v>
      </c>
      <c r="I9" s="12">
        <v>1</v>
      </c>
      <c r="J9" s="13">
        <v>6500</v>
      </c>
      <c r="K9" s="32">
        <f>+H9</f>
        <v>403.84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27"/>
      <c r="F10" s="148"/>
      <c r="G10" s="148"/>
      <c r="H10" s="37">
        <f t="shared" ref="H10:H32" si="0">B10-F10-G10</f>
        <v>0</v>
      </c>
      <c r="I10" s="12">
        <v>1</v>
      </c>
      <c r="J10" s="13">
        <v>6580</v>
      </c>
      <c r="K10" s="32">
        <f>ROUND(H43+H44+H45+H46-H16+H47,2)</f>
        <v>1796.96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27"/>
      <c r="F11" s="150"/>
      <c r="G11" s="150"/>
      <c r="H11" s="37">
        <f t="shared" si="0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1099.98</v>
      </c>
      <c r="C12" s="27"/>
      <c r="F12" s="41"/>
      <c r="G12" s="41"/>
      <c r="H12" s="37">
        <f t="shared" si="0"/>
        <v>1099.98</v>
      </c>
      <c r="I12" s="12">
        <v>1</v>
      </c>
      <c r="J12" s="13">
        <v>6570</v>
      </c>
      <c r="K12" s="32">
        <f>-H24+H52+H59</f>
        <v>81.950607220138579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257.24</v>
      </c>
      <c r="C13" s="27"/>
      <c r="F13" s="41"/>
      <c r="G13" s="41"/>
      <c r="H13" s="37">
        <f t="shared" si="0"/>
        <v>257.24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>
        <v>113.6</v>
      </c>
      <c r="C14" s="27"/>
      <c r="F14" s="41"/>
      <c r="G14" s="41"/>
      <c r="H14" s="37">
        <f t="shared" si="0"/>
        <v>113.6</v>
      </c>
      <c r="I14" s="12">
        <v>1</v>
      </c>
      <c r="J14" s="13">
        <v>6571</v>
      </c>
      <c r="K14" s="32">
        <f>+H56</f>
        <v>638.39</v>
      </c>
      <c r="L14" s="145"/>
      <c r="M14" s="5" t="s">
        <v>61</v>
      </c>
      <c r="P14" s="1"/>
    </row>
    <row r="15" spans="1:24" x14ac:dyDescent="0.25">
      <c r="A15" s="34" t="s">
        <v>28</v>
      </c>
      <c r="B15" s="151">
        <v>75.180000000000007</v>
      </c>
      <c r="C15" s="27"/>
      <c r="F15" s="41"/>
      <c r="G15" s="41"/>
      <c r="H15" s="37">
        <f t="shared" si="0"/>
        <v>75.180000000000007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>
        <v>27.15</v>
      </c>
      <c r="C16" s="27"/>
      <c r="F16" s="152"/>
      <c r="G16" s="44"/>
      <c r="H16" s="37">
        <f t="shared" si="0"/>
        <v>27.15</v>
      </c>
      <c r="I16" s="52">
        <v>1</v>
      </c>
      <c r="J16" s="10">
        <v>2120</v>
      </c>
      <c r="K16" s="21">
        <f>-H17</f>
        <v>-2.4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1">SUM(R7:R15)</f>
        <v>779.02</v>
      </c>
      <c r="S16" s="154">
        <f t="shared" si="1"/>
        <v>944.95</v>
      </c>
      <c r="T16" s="154">
        <f t="shared" si="1"/>
        <v>348.52</v>
      </c>
      <c r="U16" s="154">
        <f t="shared" si="1"/>
        <v>1512.56</v>
      </c>
      <c r="V16" s="154">
        <f t="shared" si="1"/>
        <v>670.31999999999994</v>
      </c>
      <c r="W16" s="154">
        <f t="shared" si="1"/>
        <v>4475.92</v>
      </c>
      <c r="X16" s="154">
        <f t="shared" si="1"/>
        <v>1797.86</v>
      </c>
    </row>
    <row r="17" spans="1:25" ht="19.5" thickTop="1" thickBot="1" x14ac:dyDescent="0.3">
      <c r="A17" s="34" t="s">
        <v>33</v>
      </c>
      <c r="B17" s="151">
        <v>2.4</v>
      </c>
      <c r="C17" s="27"/>
      <c r="F17" s="152"/>
      <c r="G17" s="44"/>
      <c r="H17" s="37">
        <f t="shared" si="0"/>
        <v>2.4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27"/>
      <c r="D18" s="54"/>
      <c r="E18" s="5"/>
      <c r="F18" s="41"/>
      <c r="G18" s="55"/>
      <c r="H18" s="37">
        <f t="shared" si="0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27"/>
      <c r="D19" s="54"/>
      <c r="E19" s="5"/>
      <c r="F19" s="41"/>
      <c r="G19" s="44"/>
      <c r="H19" s="37">
        <f t="shared" si="0"/>
        <v>0</v>
      </c>
      <c r="I19" s="12">
        <v>1</v>
      </c>
      <c r="J19" s="13">
        <v>6300</v>
      </c>
      <c r="K19" s="82">
        <f>ROUND(H72,2)</f>
        <v>0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27"/>
      <c r="D20" s="4"/>
      <c r="E20" s="5"/>
      <c r="F20" s="41"/>
      <c r="G20" s="55"/>
      <c r="H20" s="37">
        <f t="shared" si="0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27"/>
      <c r="D21" s="4"/>
      <c r="E21" s="5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27"/>
      <c r="D22" s="54"/>
      <c r="E22" s="5"/>
      <c r="F22" s="41"/>
      <c r="G22" s="44"/>
      <c r="H22" s="37">
        <f t="shared" si="0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27"/>
      <c r="D23" s="4"/>
      <c r="E23" s="5"/>
      <c r="F23" s="41"/>
      <c r="G23" s="55"/>
      <c r="H23" s="37">
        <f t="shared" si="0"/>
        <v>0</v>
      </c>
      <c r="I23" s="12"/>
      <c r="J23" s="13"/>
      <c r="K23" s="59">
        <f>SUM(K7:K22)</f>
        <v>11171.870607220138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>
        <v>889.66</v>
      </c>
      <c r="C24" s="27"/>
      <c r="D24" s="4"/>
      <c r="E24" s="5"/>
      <c r="F24" s="44"/>
      <c r="G24" s="44"/>
      <c r="H24" s="37">
        <f t="shared" si="0"/>
        <v>889.66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27"/>
      <c r="D25" s="4"/>
      <c r="E25" s="5"/>
      <c r="F25" s="41"/>
      <c r="G25" s="44"/>
      <c r="H25" s="37">
        <f t="shared" si="0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27"/>
      <c r="D26" s="4"/>
      <c r="E26" s="5"/>
      <c r="F26" s="44"/>
      <c r="G26" s="44"/>
      <c r="H26" s="37">
        <f t="shared" si="0"/>
        <v>0</v>
      </c>
      <c r="I26" s="12">
        <v>2</v>
      </c>
      <c r="J26" s="13">
        <v>6510</v>
      </c>
      <c r="K26" s="32">
        <f>+G7</f>
        <v>5276.56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27"/>
      <c r="D27" s="54"/>
      <c r="E27" s="5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63"/>
      <c r="D28" s="4"/>
      <c r="E28" s="5"/>
      <c r="F28" s="41"/>
      <c r="G28" s="55"/>
      <c r="H28" s="37">
        <f t="shared" si="0"/>
        <v>0</v>
      </c>
      <c r="I28" s="12">
        <v>2</v>
      </c>
      <c r="J28" s="13">
        <v>6500</v>
      </c>
      <c r="K28" s="32">
        <f>+G9</f>
        <v>2715.99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27"/>
      <c r="D29" s="54"/>
      <c r="E29" s="5"/>
      <c r="F29" s="41"/>
      <c r="G29" s="44"/>
      <c r="H29" s="37">
        <f t="shared" si="0"/>
        <v>0</v>
      </c>
      <c r="I29" s="12">
        <v>2</v>
      </c>
      <c r="J29" s="13">
        <v>6580</v>
      </c>
      <c r="K29" s="32">
        <f>-G16+G43+G44+G45+G46+G47</f>
        <v>0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65"/>
      <c r="D30" s="54"/>
      <c r="E30" s="5"/>
      <c r="F30" s="66"/>
      <c r="G30" s="67"/>
      <c r="H30" s="37">
        <f t="shared" si="0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27"/>
      <c r="D31" s="4"/>
      <c r="E31" s="5"/>
      <c r="F31" s="68"/>
      <c r="G31" s="67"/>
      <c r="H31" s="37">
        <f t="shared" si="0"/>
        <v>0</v>
      </c>
      <c r="I31" s="12">
        <v>2</v>
      </c>
      <c r="J31" s="13">
        <v>6570</v>
      </c>
      <c r="K31" s="32">
        <f>-G24+G52+G59</f>
        <v>52.394339606124525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27">
        <f t="shared" ref="C32" si="2">B32-F32-G32-H32</f>
        <v>0</v>
      </c>
      <c r="D32" s="4">
        <v>6500</v>
      </c>
      <c r="E32" s="5"/>
      <c r="F32" s="69"/>
      <c r="G32" s="70"/>
      <c r="H32" s="37">
        <f t="shared" si="0"/>
        <v>0</v>
      </c>
      <c r="I32" s="12">
        <v>2</v>
      </c>
      <c r="J32" s="13">
        <v>6571</v>
      </c>
      <c r="K32" s="32">
        <f>G56</f>
        <v>0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15276.500000000002</v>
      </c>
      <c r="C33" s="72">
        <f>B33-F33-G33-H33</f>
        <v>3117.4299999999985</v>
      </c>
      <c r="D33" s="71"/>
      <c r="E33" s="71"/>
      <c r="F33" s="71">
        <f>F7+F8+F10+F11-F12-F13-F14-F15-F16-F30-F21-F27-F26-F29-F18-F22-F19-F24-F23-F25+F31+F32</f>
        <v>1092.19</v>
      </c>
      <c r="G33" s="71">
        <f>G7+G8+G10+G11-G12-G13-G14-G15-G16-G30-G21-G27-G26-G29-G18-G22-G19-G24-G23-G25+G31+G32</f>
        <v>5276.56</v>
      </c>
      <c r="H33" s="71">
        <f>H7+H8+H10+H11-H12-H13-H14-H15-H16-H30-H21-H27-H26-H29-H18-H22-H19-H24-H23-H25+H31+H32-H20-H28</f>
        <v>5790.3200000000015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0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1099.98</v>
      </c>
      <c r="C38" s="27">
        <f>B38-F38-G38-H38</f>
        <v>0</v>
      </c>
      <c r="D38" s="28">
        <v>2100</v>
      </c>
      <c r="E38" s="29"/>
      <c r="F38" s="81">
        <v>0</v>
      </c>
      <c r="G38" s="80">
        <v>0</v>
      </c>
      <c r="H38" s="31">
        <f>B38-G38-F38</f>
        <v>1099.98</v>
      </c>
      <c r="I38" s="12">
        <v>2</v>
      </c>
      <c r="J38" s="13">
        <v>6300</v>
      </c>
      <c r="K38" s="84">
        <f>ROUND(G72,2)</f>
        <v>0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257.24</v>
      </c>
      <c r="C39" s="27">
        <f>B39-F39-G39-H39</f>
        <v>0</v>
      </c>
      <c r="D39" s="4">
        <v>2100</v>
      </c>
      <c r="E39" s="5"/>
      <c r="F39" s="6">
        <v>0</v>
      </c>
      <c r="G39" s="83">
        <v>0</v>
      </c>
      <c r="H39" s="37">
        <f>B39-G39-F39</f>
        <v>257.24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113.6</v>
      </c>
      <c r="C40" s="27">
        <f>B40-F40-G40-H40</f>
        <v>0</v>
      </c>
      <c r="D40" s="4">
        <v>2110</v>
      </c>
      <c r="E40" s="5"/>
      <c r="F40" s="6">
        <v>0</v>
      </c>
      <c r="G40" s="83">
        <v>0</v>
      </c>
      <c r="H40" s="37">
        <f>B40-G40-F40</f>
        <v>113.6</v>
      </c>
      <c r="I40" s="85"/>
      <c r="J40" s="5"/>
      <c r="K40" s="86">
        <f>SUM(K26:K39)</f>
        <v>8044.9443396061251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75.180000000000007</v>
      </c>
      <c r="C41" s="27">
        <f>B41-F41-G41-H41</f>
        <v>0</v>
      </c>
      <c r="D41" s="4">
        <v>2120</v>
      </c>
      <c r="E41" s="5"/>
      <c r="F41" s="6">
        <v>0</v>
      </c>
      <c r="G41" s="83">
        <v>0</v>
      </c>
      <c r="H41" s="37">
        <f>B41-G41-F41</f>
        <v>75.180000000000007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1099.99</v>
      </c>
      <c r="C43" s="27">
        <f>B43-F43-G43-H43</f>
        <v>0</v>
      </c>
      <c r="D43" s="4">
        <v>6580</v>
      </c>
      <c r="E43" s="5"/>
      <c r="F43" s="90"/>
      <c r="G43" s="90"/>
      <c r="H43" s="37">
        <f>B43-F43-G43</f>
        <v>1099.99</v>
      </c>
      <c r="I43" s="12">
        <v>3</v>
      </c>
      <c r="J43" s="13">
        <v>6510</v>
      </c>
      <c r="K43" s="92">
        <f>+F7</f>
        <v>1092.19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257.27</v>
      </c>
      <c r="C44" s="27">
        <f>B44-F44-G44-H44</f>
        <v>0</v>
      </c>
      <c r="D44" s="4">
        <v>6580</v>
      </c>
      <c r="E44" s="5"/>
      <c r="F44" s="90"/>
      <c r="G44" s="90"/>
      <c r="H44" s="37">
        <f>B44-F44-G44</f>
        <v>257.27</v>
      </c>
      <c r="I44" s="12">
        <v>3</v>
      </c>
      <c r="J44" s="13">
        <v>6505</v>
      </c>
      <c r="K44" s="92">
        <f>+F8</f>
        <v>0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>
        <v>49.98</v>
      </c>
      <c r="C45" s="27">
        <f>B45-F45-G45-H45</f>
        <v>0</v>
      </c>
      <c r="D45" s="4">
        <v>6580</v>
      </c>
      <c r="E45" s="5"/>
      <c r="F45" s="90"/>
      <c r="G45" s="91"/>
      <c r="H45" s="37">
        <f>B45-G45-F45</f>
        <v>49.98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>
        <v>406.07</v>
      </c>
      <c r="C46" s="27">
        <f>B46-F46-G46-H46</f>
        <v>0</v>
      </c>
      <c r="D46" s="4">
        <v>6580</v>
      </c>
      <c r="E46" s="5"/>
      <c r="F46" s="93"/>
      <c r="G46" s="94"/>
      <c r="H46" s="37">
        <f>B46-G46-F46</f>
        <v>406.07</v>
      </c>
      <c r="I46" s="12">
        <v>3</v>
      </c>
      <c r="J46" s="13">
        <v>6580</v>
      </c>
      <c r="K46" s="92">
        <f>-F16+F43+F44+F45+F46+F47</f>
        <v>0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>
        <v>10.8</v>
      </c>
      <c r="C47" s="27">
        <f>B47-F47-G47-H47</f>
        <v>0</v>
      </c>
      <c r="D47" s="4"/>
      <c r="E47" s="5"/>
      <c r="F47" s="95"/>
      <c r="G47" s="96"/>
      <c r="H47" s="37">
        <f>B47-G47-F47</f>
        <v>10.8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1824.11</v>
      </c>
      <c r="C48" s="27">
        <f>B49-F48-G48-H48</f>
        <v>0</v>
      </c>
      <c r="D48" s="7"/>
      <c r="E48" s="1"/>
      <c r="F48" s="97">
        <f>SUM(F38:F47)</f>
        <v>0</v>
      </c>
      <c r="G48" s="97">
        <f>SUM(G38:G47)</f>
        <v>0</v>
      </c>
      <c r="H48" s="71">
        <f>SUM(H38:H47)</f>
        <v>3370.11</v>
      </c>
      <c r="I48" s="12">
        <v>3</v>
      </c>
      <c r="J48" s="13">
        <v>6300</v>
      </c>
      <c r="K48" s="92">
        <f>ROUND(F72,2)</f>
        <v>0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5" s="33" customFormat="1" ht="19.5" thickTop="1" thickBot="1" x14ac:dyDescent="0.3">
      <c r="A49" s="34" t="s">
        <v>60</v>
      </c>
      <c r="B49" s="98">
        <f>SUM(B38:B47)</f>
        <v>3370.11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5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0</v>
      </c>
      <c r="L50" s="1"/>
      <c r="M50" s="1" t="s">
        <v>34</v>
      </c>
      <c r="N50" s="1"/>
      <c r="O50" s="1"/>
      <c r="P50" s="1"/>
    </row>
    <row r="51" spans="1:25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5" x14ac:dyDescent="0.25">
      <c r="A52" s="25" t="s">
        <v>78</v>
      </c>
      <c r="B52" s="80">
        <f>B24</f>
        <v>889.66</v>
      </c>
      <c r="C52" s="106"/>
      <c r="D52" s="28">
        <v>6570</v>
      </c>
      <c r="E52" s="29"/>
      <c r="F52" s="81">
        <f>F24</f>
        <v>0</v>
      </c>
      <c r="G52" s="107">
        <f>G24</f>
        <v>0</v>
      </c>
      <c r="H52" s="31">
        <f>B52-G52-F52</f>
        <v>889.66</v>
      </c>
      <c r="I52" s="12">
        <v>3</v>
      </c>
      <c r="J52" s="13">
        <v>6570</v>
      </c>
      <c r="K52" s="92">
        <f>F59</f>
        <v>10.845053173736892</v>
      </c>
      <c r="M52" s="5" t="s">
        <v>25</v>
      </c>
      <c r="O52" s="1"/>
      <c r="P52" s="1"/>
    </row>
    <row r="53" spans="1:25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0</v>
      </c>
      <c r="M53" s="5" t="s">
        <v>27</v>
      </c>
      <c r="O53" s="1"/>
      <c r="P53" s="1"/>
    </row>
    <row r="54" spans="1:25" x14ac:dyDescent="0.25">
      <c r="A54" s="34" t="s">
        <v>60</v>
      </c>
      <c r="B54" s="108">
        <f>SUM(B52:B53)</f>
        <v>889.66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5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5" ht="18.75" thickBot="1" x14ac:dyDescent="0.3">
      <c r="A56" s="34" t="s">
        <v>80</v>
      </c>
      <c r="B56" s="110">
        <v>638.39</v>
      </c>
      <c r="C56" s="111"/>
      <c r="D56" s="4">
        <v>6571</v>
      </c>
      <c r="F56" s="90"/>
      <c r="G56" s="91"/>
      <c r="H56" s="37">
        <f>B56-F56-G56</f>
        <v>638.39</v>
      </c>
      <c r="I56" s="12"/>
      <c r="J56" s="13"/>
      <c r="K56" s="86">
        <f>SUM(K43:K55)</f>
        <v>1103.035053173737</v>
      </c>
      <c r="L56" s="1"/>
      <c r="N56" s="1">
        <v>2040</v>
      </c>
      <c r="O56" s="1"/>
      <c r="P56" s="1"/>
      <c r="Q56" s="33">
        <f>+O58+K58</f>
        <v>0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5" ht="18.75" thickTop="1" x14ac:dyDescent="0.25">
      <c r="A57" s="34" t="s">
        <v>61</v>
      </c>
      <c r="B57" s="112">
        <v>44.19</v>
      </c>
      <c r="C57" s="111"/>
      <c r="D57" s="4">
        <v>6571</v>
      </c>
      <c r="F57" s="93"/>
      <c r="G57" s="157"/>
      <c r="H57" s="37">
        <f>B57-F57-G57</f>
        <v>44.19</v>
      </c>
      <c r="I57" s="12"/>
      <c r="J57" s="13"/>
      <c r="K57" s="32"/>
      <c r="M57" s="1" t="s">
        <v>83</v>
      </c>
      <c r="O57" s="1"/>
      <c r="P57" s="1"/>
    </row>
    <row r="58" spans="1:25" ht="18.75" thickBot="1" x14ac:dyDescent="0.3">
      <c r="A58" s="34" t="s">
        <v>82</v>
      </c>
      <c r="B58" s="83">
        <f>+B20</f>
        <v>0</v>
      </c>
      <c r="C58" s="111"/>
      <c r="F58" s="6"/>
      <c r="G58" s="88"/>
      <c r="H58" s="37">
        <f>B58-F58-G58</f>
        <v>0</v>
      </c>
      <c r="I58" s="52">
        <v>1</v>
      </c>
      <c r="J58" s="10">
        <v>1012</v>
      </c>
      <c r="K58" s="113">
        <f>-(K23+K40+K56+K76+K83+K88)-K59-K60</f>
        <v>-20319.850000000002</v>
      </c>
      <c r="M58" s="1"/>
      <c r="O58" s="114">
        <f>+'[1]1012-CNB Checking'!$F$95</f>
        <v>20319.849999999999</v>
      </c>
      <c r="P58" s="114"/>
      <c r="Y58" s="32">
        <f>+K58+O58</f>
        <v>0</v>
      </c>
    </row>
    <row r="59" spans="1:25" ht="18.75" thickTop="1" x14ac:dyDescent="0.25">
      <c r="A59" s="34" t="s">
        <v>25</v>
      </c>
      <c r="B59" s="110">
        <v>145.19</v>
      </c>
      <c r="C59" s="111"/>
      <c r="D59" s="4">
        <v>6570</v>
      </c>
      <c r="F59" s="160">
        <f>+((F7+F8)/(B8+B7))*B59</f>
        <v>10.845053173736892</v>
      </c>
      <c r="G59" s="88">
        <f>+((G7+G8)/(B7+B8))*B59</f>
        <v>52.394339606124525</v>
      </c>
      <c r="H59" s="37">
        <f>+B59-F59-G59</f>
        <v>81.950607220138579</v>
      </c>
      <c r="I59" s="85">
        <v>1</v>
      </c>
      <c r="K59" s="21"/>
      <c r="O59" s="21"/>
      <c r="P59" s="1"/>
    </row>
    <row r="60" spans="1:25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85">
        <v>1</v>
      </c>
      <c r="K60" s="21"/>
      <c r="O60" s="21"/>
      <c r="P60" s="1"/>
    </row>
    <row r="61" spans="1:25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>B61-F61-G61</f>
        <v>0</v>
      </c>
      <c r="I61" s="85"/>
      <c r="K61" s="21"/>
      <c r="O61" s="21"/>
      <c r="P61" s="1"/>
    </row>
    <row r="62" spans="1:25" ht="18.75" thickBot="1" x14ac:dyDescent="0.3">
      <c r="A62" s="34" t="s">
        <v>60</v>
      </c>
      <c r="B62" s="116">
        <f>B54+B60+B61+B56+B59+B58</f>
        <v>1673.24</v>
      </c>
      <c r="C62" s="117"/>
      <c r="D62" s="7"/>
      <c r="E62" s="1"/>
      <c r="F62" s="71">
        <f>F52+F56</f>
        <v>0</v>
      </c>
      <c r="G62" s="71">
        <f>G52+G56</f>
        <v>0</v>
      </c>
      <c r="H62" s="118">
        <f>B62-G62</f>
        <v>1673.24</v>
      </c>
      <c r="I62" s="115" t="s">
        <v>85</v>
      </c>
      <c r="K62" s="32"/>
      <c r="O62" s="1"/>
      <c r="P62" s="1"/>
    </row>
    <row r="63" spans="1:25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5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v>0.1</v>
      </c>
      <c r="G65" s="123">
        <v>0.3</v>
      </c>
      <c r="H65" s="123">
        <v>0.6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0.1</v>
      </c>
      <c r="G70" s="123">
        <f>G65</f>
        <v>0.3</v>
      </c>
      <c r="H70" s="123">
        <f>H65</f>
        <v>0.6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/>
      <c r="C71" s="106"/>
      <c r="D71" s="28">
        <v>6300</v>
      </c>
      <c r="E71" s="29"/>
      <c r="F71" s="81">
        <f>B71*F70</f>
        <v>0</v>
      </c>
      <c r="G71" s="107">
        <f>B71*G70</f>
        <v>0</v>
      </c>
      <c r="H71" s="31">
        <f>B71*H70-0</f>
        <v>0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0</v>
      </c>
      <c r="C72" s="117"/>
      <c r="D72" s="7"/>
      <c r="E72" s="1"/>
      <c r="F72" s="71">
        <f>F71</f>
        <v>0</v>
      </c>
      <c r="G72" s="71">
        <f>G71</f>
        <v>0</v>
      </c>
      <c r="H72" s="118">
        <f>H71</f>
        <v>0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20319.849999999999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15232.31</v>
      </c>
      <c r="C77" s="130"/>
      <c r="D77" s="131" t="s">
        <v>100</v>
      </c>
      <c r="E77" s="6"/>
      <c r="F77" s="6"/>
      <c r="G77" s="132"/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15232.31</v>
      </c>
      <c r="C80" s="130"/>
      <c r="D80" s="131"/>
      <c r="E80" s="6"/>
      <c r="F80" s="6"/>
      <c r="G80" s="129">
        <f>SUM(G77:G79)</f>
        <v>0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20319.849999999999</v>
      </c>
      <c r="C81" s="3"/>
      <c r="D81" s="4"/>
      <c r="E81" s="5"/>
      <c r="F81" s="5"/>
      <c r="G81" s="5"/>
      <c r="H81" s="128" t="str">
        <f>IF(B80-G80=0,"ok","NO")</f>
        <v>NO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0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20319.849999999999</v>
      </c>
      <c r="C83" s="128" t="str">
        <f>IF(B75=B83,"ok","NO")</f>
        <v>ok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0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51B2-B11E-4756-9B80-DAF9564511D1}">
  <sheetPr>
    <tabColor rgb="FF00B050"/>
    <pageSetUpPr fitToPage="1"/>
  </sheetPr>
  <dimension ref="A2:Z99"/>
  <sheetViews>
    <sheetView topLeftCell="A4" zoomScale="70" zoomScaleNormal="70" zoomScalePageLayoutView="70" workbookViewId="0">
      <selection activeCell="Q33" sqref="Q33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4.2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customWidth="1"/>
    <col min="17" max="17" width="15.25" style="5" customWidth="1"/>
    <col min="18" max="18" width="18.125" style="5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43503</v>
      </c>
      <c r="K2" s="9"/>
      <c r="M2" s="5" t="s">
        <v>1</v>
      </c>
    </row>
    <row r="3" spans="1:19" x14ac:dyDescent="0.25">
      <c r="A3" s="10" t="s">
        <v>2</v>
      </c>
      <c r="B3" s="8">
        <v>43497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0.9</v>
      </c>
    </row>
    <row r="7" spans="1:19" x14ac:dyDescent="0.25">
      <c r="A7" s="25" t="s">
        <v>14</v>
      </c>
      <c r="B7" s="26">
        <v>45174.09</v>
      </c>
      <c r="C7" s="27">
        <f>B7-F7-G7-H7</f>
        <v>0</v>
      </c>
      <c r="D7" s="28">
        <v>6500</v>
      </c>
      <c r="E7" s="29"/>
      <c r="F7" s="30">
        <v>3962.18</v>
      </c>
      <c r="G7" s="30">
        <v>18657.669999999998</v>
      </c>
      <c r="H7" s="31">
        <f t="shared" ref="H7:H31" si="0">B7-F7-G7</f>
        <v>22554.239999999998</v>
      </c>
      <c r="I7" s="12">
        <v>1</v>
      </c>
      <c r="J7" s="13">
        <v>6500</v>
      </c>
      <c r="K7" s="32">
        <f>H7</f>
        <v>22554.239999999998</v>
      </c>
      <c r="M7" s="5" t="s">
        <v>15</v>
      </c>
      <c r="P7" s="5">
        <v>1</v>
      </c>
      <c r="Q7" s="13">
        <v>6500</v>
      </c>
      <c r="R7" s="33">
        <f>+K7*$R$6</f>
        <v>20298.815999999999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3328.81</v>
      </c>
      <c r="C10" s="27">
        <f t="shared" ref="C10:C30" si="1">B10-F10-G10-H10</f>
        <v>0</v>
      </c>
      <c r="D10" s="4">
        <v>6040</v>
      </c>
      <c r="F10" s="35"/>
      <c r="G10" s="36">
        <v>615.41</v>
      </c>
      <c r="H10" s="37">
        <f t="shared" si="0"/>
        <v>2713.4</v>
      </c>
      <c r="I10" s="12">
        <v>1</v>
      </c>
      <c r="J10" s="13">
        <v>6580</v>
      </c>
      <c r="K10" s="32">
        <f>ROUND($H$42+$H$43+$H$44+$H$45-$H$15+$H$46,2)</f>
        <v>2776.1</v>
      </c>
      <c r="M10" s="39" t="s">
        <v>21</v>
      </c>
      <c r="P10" s="5">
        <v>1</v>
      </c>
      <c r="Q10" s="13">
        <v>6580</v>
      </c>
      <c r="R10" s="33">
        <f>+K10*$R$6</f>
        <v>2498.4899999999998</v>
      </c>
      <c r="S10" s="32"/>
    </row>
    <row r="11" spans="1:19" x14ac:dyDescent="0.25">
      <c r="A11" s="34" t="s">
        <v>22</v>
      </c>
      <c r="B11" s="40">
        <v>2661.84</v>
      </c>
      <c r="C11" s="27">
        <f t="shared" si="1"/>
        <v>0</v>
      </c>
      <c r="D11" s="4">
        <v>2100</v>
      </c>
      <c r="F11" s="41"/>
      <c r="G11" s="41"/>
      <c r="H11" s="37">
        <f t="shared" si="0"/>
        <v>2661.84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622.47</v>
      </c>
      <c r="C12" s="27">
        <f t="shared" si="1"/>
        <v>0</v>
      </c>
      <c r="D12" s="4">
        <v>2100</v>
      </c>
      <c r="F12" s="41"/>
      <c r="G12" s="41"/>
      <c r="H12" s="37">
        <f t="shared" si="0"/>
        <v>622.47</v>
      </c>
      <c r="I12" s="12">
        <v>1</v>
      </c>
      <c r="J12" s="13">
        <v>6570</v>
      </c>
      <c r="K12" s="32">
        <f>-H23+H51+H58</f>
        <v>357.7</v>
      </c>
      <c r="M12" s="5" t="s">
        <v>25</v>
      </c>
      <c r="P12" s="5">
        <v>1</v>
      </c>
      <c r="Q12" s="13">
        <v>6570</v>
      </c>
      <c r="R12" s="33">
        <f>+K12*R6</f>
        <v>321.93</v>
      </c>
      <c r="S12" s="32"/>
    </row>
    <row r="13" spans="1:19" x14ac:dyDescent="0.25">
      <c r="A13" s="34" t="s">
        <v>26</v>
      </c>
      <c r="B13" s="42">
        <v>3298.82</v>
      </c>
      <c r="C13" s="27">
        <f t="shared" si="1"/>
        <v>0</v>
      </c>
      <c r="D13" s="4">
        <v>2110</v>
      </c>
      <c r="F13" s="41"/>
      <c r="G13" s="41"/>
      <c r="H13" s="37">
        <f t="shared" si="0"/>
        <v>3298.82</v>
      </c>
      <c r="I13" s="12">
        <v>1</v>
      </c>
      <c r="J13" s="13">
        <v>6571</v>
      </c>
      <c r="K13" s="32">
        <f>ROUND(H55,2)</f>
        <v>898.82</v>
      </c>
      <c r="M13" s="43" t="s">
        <v>27</v>
      </c>
      <c r="P13" s="5">
        <v>1</v>
      </c>
      <c r="Q13" s="13">
        <v>6571</v>
      </c>
      <c r="R13" s="33">
        <f>+K13*$R$6</f>
        <v>808.9380000000001</v>
      </c>
      <c r="S13" s="32"/>
    </row>
    <row r="14" spans="1:19" x14ac:dyDescent="0.25">
      <c r="A14" s="34" t="s">
        <v>28</v>
      </c>
      <c r="B14" s="42">
        <v>1815.51</v>
      </c>
      <c r="C14" s="27">
        <f t="shared" si="1"/>
        <v>0</v>
      </c>
      <c r="D14" s="4">
        <v>2120</v>
      </c>
      <c r="F14" s="41"/>
      <c r="G14" s="41"/>
      <c r="H14" s="37">
        <f t="shared" si="0"/>
        <v>1815.51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24</v>
      </c>
      <c r="C15" s="27">
        <f t="shared" si="1"/>
        <v>0</v>
      </c>
      <c r="D15" s="4">
        <v>6580</v>
      </c>
      <c r="F15" s="44">
        <v>1.2</v>
      </c>
      <c r="G15" s="44">
        <v>7.2</v>
      </c>
      <c r="H15" s="37">
        <f t="shared" si="0"/>
        <v>15.600000000000001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/>
    </row>
    <row r="16" spans="1:19" ht="18.75" thickBot="1" x14ac:dyDescent="0.3">
      <c r="A16" s="34" t="s">
        <v>33</v>
      </c>
      <c r="B16" s="51">
        <v>69.08</v>
      </c>
      <c r="C16" s="27">
        <f t="shared" si="1"/>
        <v>0</v>
      </c>
      <c r="D16" s="7">
        <v>2120</v>
      </c>
      <c r="F16" s="44">
        <v>3.69</v>
      </c>
      <c r="G16" s="44">
        <v>21.41</v>
      </c>
      <c r="H16" s="37">
        <f t="shared" si="0"/>
        <v>43.980000000000004</v>
      </c>
      <c r="I16" s="52">
        <v>1</v>
      </c>
      <c r="J16" s="10">
        <v>2120</v>
      </c>
      <c r="K16" s="21">
        <f>-H16</f>
        <v>-43.980000000000004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-39.582000000000008</v>
      </c>
      <c r="S16" s="32"/>
    </row>
    <row r="17" spans="1:26" x14ac:dyDescent="0.25">
      <c r="A17" s="34" t="s">
        <v>35</v>
      </c>
      <c r="B17" s="53">
        <v>24</v>
      </c>
      <c r="C17" s="27">
        <f t="shared" si="1"/>
        <v>0</v>
      </c>
      <c r="D17" s="54">
        <v>1830</v>
      </c>
      <c r="F17" s="41"/>
      <c r="G17" s="55"/>
      <c r="H17" s="37">
        <f t="shared" si="0"/>
        <v>24</v>
      </c>
      <c r="I17" s="12">
        <v>1</v>
      </c>
      <c r="J17" s="13">
        <v>1830</v>
      </c>
      <c r="K17" s="56">
        <f>ROUND(-H20-H27-H17-H18-H21-H26-H28,2)</f>
        <v>-1220.5999999999999</v>
      </c>
      <c r="M17" s="5" t="s">
        <v>36</v>
      </c>
      <c r="P17" s="5">
        <v>1</v>
      </c>
      <c r="Q17" s="13">
        <v>1830</v>
      </c>
      <c r="R17" s="33">
        <f>+K17*$R$6</f>
        <v>-1098.54</v>
      </c>
      <c r="S17" s="32"/>
    </row>
    <row r="18" spans="1:26" x14ac:dyDescent="0.25">
      <c r="A18" s="34" t="s">
        <v>37</v>
      </c>
      <c r="B18" s="57">
        <v>59.88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0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57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273.89</v>
      </c>
      <c r="M19" s="5" t="s">
        <v>40</v>
      </c>
      <c r="P19" s="5">
        <v>1</v>
      </c>
      <c r="Q19" s="13">
        <v>6300</v>
      </c>
      <c r="R19" s="33">
        <f>+K19*$R$6</f>
        <v>246.501</v>
      </c>
      <c r="S19" s="32"/>
    </row>
    <row r="20" spans="1:26" x14ac:dyDescent="0.25">
      <c r="A20" s="34" t="s">
        <v>41</v>
      </c>
      <c r="B20" s="57">
        <v>1751.52</v>
      </c>
      <c r="C20" s="27">
        <f t="shared" si="1"/>
        <v>0</v>
      </c>
      <c r="D20" s="4">
        <v>1830</v>
      </c>
      <c r="F20" s="41"/>
      <c r="G20" s="44">
        <v>809.87</v>
      </c>
      <c r="H20" s="37">
        <f t="shared" si="0"/>
        <v>941.65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57">
        <v>240.36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114.36000000000001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57">
        <v>692.31</v>
      </c>
      <c r="C22" s="27">
        <f t="shared" si="1"/>
        <v>0</v>
      </c>
      <c r="F22" s="41"/>
      <c r="G22" s="55"/>
      <c r="H22" s="37">
        <f t="shared" si="0"/>
        <v>692.31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57">
        <v>1889.57</v>
      </c>
      <c r="C23" s="27">
        <f t="shared" si="1"/>
        <v>0</v>
      </c>
      <c r="D23" s="4">
        <v>6570</v>
      </c>
      <c r="F23" s="44">
        <v>168.71</v>
      </c>
      <c r="G23" s="44">
        <v>672.64</v>
      </c>
      <c r="H23" s="37">
        <f t="shared" si="0"/>
        <v>1048.2199999999998</v>
      </c>
      <c r="I23" s="12"/>
      <c r="J23" s="13"/>
      <c r="K23" s="59">
        <f>SUM(K7:K22)</f>
        <v>25596.17</v>
      </c>
      <c r="N23" s="1">
        <v>2040</v>
      </c>
      <c r="P23" s="5">
        <v>1</v>
      </c>
      <c r="Q23" s="13">
        <v>2040</v>
      </c>
      <c r="R23" s="60">
        <f>SUM(R7:R22)</f>
        <v>23036.553</v>
      </c>
      <c r="S23" s="6"/>
    </row>
    <row r="24" spans="1:26" ht="18.75" thickTop="1" x14ac:dyDescent="0.25">
      <c r="A24" s="34" t="s">
        <v>48</v>
      </c>
      <c r="B24" s="57">
        <v>409.58</v>
      </c>
      <c r="C24" s="27">
        <f t="shared" si="1"/>
        <v>0</v>
      </c>
      <c r="F24" s="41"/>
      <c r="G24" s="44">
        <v>123.58</v>
      </c>
      <c r="H24" s="37">
        <f t="shared" si="0"/>
        <v>286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57">
        <v>387.31</v>
      </c>
      <c r="C25" s="27">
        <f t="shared" si="1"/>
        <v>0</v>
      </c>
      <c r="F25" s="44">
        <v>101.92</v>
      </c>
      <c r="G25" s="44"/>
      <c r="H25" s="37">
        <f t="shared" si="0"/>
        <v>285.39</v>
      </c>
      <c r="I25" s="61">
        <v>2</v>
      </c>
      <c r="J25" s="62"/>
      <c r="K25" s="32"/>
      <c r="Q25" s="62"/>
      <c r="R25" s="33"/>
    </row>
    <row r="26" spans="1:26" x14ac:dyDescent="0.25">
      <c r="A26" s="34" t="s">
        <v>50</v>
      </c>
      <c r="B26" s="57">
        <v>78.58</v>
      </c>
      <c r="C26" s="27">
        <f t="shared" si="1"/>
        <v>0</v>
      </c>
      <c r="D26" s="54">
        <v>1830</v>
      </c>
      <c r="F26" s="41"/>
      <c r="G26" s="55"/>
      <c r="H26" s="37">
        <f t="shared" si="0"/>
        <v>78.58</v>
      </c>
      <c r="I26" s="12">
        <v>2</v>
      </c>
      <c r="J26" s="13">
        <v>6500</v>
      </c>
      <c r="K26" s="32">
        <f>G7</f>
        <v>18657.669999999998</v>
      </c>
      <c r="M26" s="5" t="s">
        <v>51</v>
      </c>
      <c r="O26" s="32"/>
      <c r="P26" s="5">
        <v>2</v>
      </c>
      <c r="Q26" s="13">
        <v>6500</v>
      </c>
      <c r="R26" s="33">
        <f>+K26*R6</f>
        <v>16791.902999999998</v>
      </c>
      <c r="S26" s="32"/>
      <c r="X26" s="32"/>
    </row>
    <row r="27" spans="1:26" x14ac:dyDescent="0.25">
      <c r="A27" s="34" t="s">
        <v>52</v>
      </c>
      <c r="B27" s="57"/>
      <c r="C27" s="63">
        <f t="shared" si="1"/>
        <v>0</v>
      </c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64">
        <v>91.13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62.009999999999991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57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1335.82</v>
      </c>
      <c r="M29" s="39" t="s">
        <v>21</v>
      </c>
      <c r="P29" s="5">
        <v>2</v>
      </c>
      <c r="Q29" s="13">
        <v>6580</v>
      </c>
      <c r="R29" s="33">
        <f>+K29*R6</f>
        <v>1202.2380000000001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178.85</v>
      </c>
      <c r="M31" s="5" t="s">
        <v>25</v>
      </c>
      <c r="P31" s="5">
        <v>2</v>
      </c>
      <c r="Q31" s="13">
        <v>6570</v>
      </c>
      <c r="R31" s="33">
        <f>+K31*$R$6</f>
        <v>160.965</v>
      </c>
      <c r="S31" s="32"/>
    </row>
    <row r="32" spans="1:26" ht="18.75" thickBot="1" x14ac:dyDescent="0.3">
      <c r="A32" s="34" t="s">
        <v>60</v>
      </c>
      <c r="B32" s="71">
        <f t="shared" ref="B32" si="2">B7+B8+B10-B11-B12-B13-B14-B15-B16-B19-B29-B20-B26-B25-B28-B17-B21-B18-B23-B22-B24+B30+B31</f>
        <v>34386.94</v>
      </c>
      <c r="C32" s="72">
        <f>B32-F32-G32-H32</f>
        <v>0</v>
      </c>
      <c r="D32" s="71"/>
      <c r="E32" s="71"/>
      <c r="F32" s="71">
        <f t="shared" ref="F32:H32" si="3">F7+F8+F10-F11-F12-F13-F14-F15-F16-F19-F29-F20-F26-F25-F28-F17-F21-F18-F23-F22-F24+F30+F31</f>
        <v>3675.91</v>
      </c>
      <c r="G32" s="71">
        <f t="shared" si="3"/>
        <v>17434.129999999997</v>
      </c>
      <c r="H32" s="71">
        <f t="shared" si="3"/>
        <v>13276.900000000003</v>
      </c>
      <c r="I32" s="12">
        <v>2</v>
      </c>
      <c r="J32" s="13">
        <v>6571</v>
      </c>
      <c r="K32" s="32">
        <f>G55</f>
        <v>396.84</v>
      </c>
      <c r="M32" s="43" t="s">
        <v>27</v>
      </c>
      <c r="P32" s="5">
        <v>2</v>
      </c>
      <c r="Q32" s="13">
        <v>6571</v>
      </c>
      <c r="R32" s="33">
        <f>+K32*$R$6</f>
        <v>357.15600000000001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/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-21.41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-19.269000000000002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-1014.12</v>
      </c>
      <c r="M36" s="5" t="s">
        <v>36</v>
      </c>
      <c r="O36" s="1"/>
      <c r="P36" s="5">
        <v>2</v>
      </c>
      <c r="Q36" s="13">
        <v>1830</v>
      </c>
      <c r="R36" s="33">
        <f>+K36*$R$6</f>
        <v>-912.70799999999997</v>
      </c>
      <c r="S36" s="32"/>
    </row>
    <row r="37" spans="1:22" x14ac:dyDescent="0.25">
      <c r="A37" s="25" t="s">
        <v>66</v>
      </c>
      <c r="B37" s="80">
        <f>B11</f>
        <v>2661.84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2661.84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622.47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622.47</v>
      </c>
      <c r="I38" s="12">
        <v>2</v>
      </c>
      <c r="J38" s="13">
        <v>6300</v>
      </c>
      <c r="K38" s="84">
        <f>ROUND(G70,2)</f>
        <v>136.94999999999999</v>
      </c>
      <c r="M38" s="5" t="s">
        <v>40</v>
      </c>
      <c r="O38" s="1"/>
      <c r="P38" s="5">
        <v>2</v>
      </c>
      <c r="Q38" s="13">
        <v>6300</v>
      </c>
      <c r="R38" s="33">
        <f>+K38*$R$6</f>
        <v>123.255</v>
      </c>
      <c r="S38" s="32"/>
    </row>
    <row r="39" spans="1:22" x14ac:dyDescent="0.25">
      <c r="A39" s="34" t="s">
        <v>68</v>
      </c>
      <c r="B39" s="83">
        <f>B13</f>
        <v>3298.82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3298.82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1815.51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1815.51</v>
      </c>
      <c r="I40" s="85"/>
      <c r="J40" s="5">
        <v>2040</v>
      </c>
      <c r="K40" s="86">
        <f>SUM(K26:K39)</f>
        <v>19670.599999999999</v>
      </c>
      <c r="N40" s="1">
        <v>2040</v>
      </c>
      <c r="O40" s="1"/>
      <c r="P40" s="5">
        <v>2</v>
      </c>
      <c r="Q40" s="5">
        <v>2040</v>
      </c>
      <c r="R40" s="86">
        <f>SUM(R26:R39)</f>
        <v>17703.54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2661.84</v>
      </c>
      <c r="C42" s="27">
        <f>B42-F42-G42-H42</f>
        <v>0</v>
      </c>
      <c r="D42" s="4">
        <v>6580</v>
      </c>
      <c r="F42" s="90">
        <v>143.11000000000001</v>
      </c>
      <c r="G42" s="90">
        <v>813.88</v>
      </c>
      <c r="H42" s="37">
        <f>B42-F42-G42</f>
        <v>1704.85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622.54</v>
      </c>
      <c r="C43" s="27">
        <f>B43-F43-G43-H43</f>
        <v>0</v>
      </c>
      <c r="D43" s="4">
        <v>6580</v>
      </c>
      <c r="F43" s="90">
        <v>33.47</v>
      </c>
      <c r="G43" s="90">
        <v>190.33</v>
      </c>
      <c r="H43" s="37">
        <f>B43-F43-G43</f>
        <v>398.7399999999999</v>
      </c>
      <c r="I43" s="12">
        <v>3</v>
      </c>
      <c r="J43" s="13">
        <v>6500</v>
      </c>
      <c r="K43" s="92">
        <f>F7</f>
        <v>3962.18</v>
      </c>
      <c r="M43" s="5" t="s">
        <v>71</v>
      </c>
      <c r="O43" s="1"/>
      <c r="P43" s="5">
        <v>3</v>
      </c>
      <c r="Q43" s="13">
        <v>6500</v>
      </c>
      <c r="R43" s="33">
        <f>+K43*$R$6</f>
        <v>3565.962</v>
      </c>
      <c r="S43" s="32"/>
    </row>
    <row r="44" spans="1:22" x14ac:dyDescent="0.25">
      <c r="A44" s="34" t="s">
        <v>72</v>
      </c>
      <c r="B44" s="89">
        <v>113.3</v>
      </c>
      <c r="C44" s="27">
        <f>B44-F44-G44-H44</f>
        <v>0</v>
      </c>
      <c r="D44" s="4">
        <v>6580</v>
      </c>
      <c r="F44" s="90">
        <v>8.33</v>
      </c>
      <c r="G44" s="91">
        <v>27.59</v>
      </c>
      <c r="H44" s="37">
        <f>B44-G44-F44</f>
        <v>77.38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966.32</v>
      </c>
      <c r="C45" s="27">
        <f>B45-F45-G45-H45</f>
        <v>0</v>
      </c>
      <c r="D45" s="4">
        <v>6580</v>
      </c>
      <c r="F45" s="93">
        <v>68.09</v>
      </c>
      <c r="G45" s="94">
        <v>303.19</v>
      </c>
      <c r="H45" s="37">
        <f>B45-G45-F45</f>
        <v>595.04000000000008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25.63</v>
      </c>
      <c r="C46" s="27">
        <f>B46-F46-G46-H46</f>
        <v>0</v>
      </c>
      <c r="F46" s="95">
        <v>1.91</v>
      </c>
      <c r="G46" s="96">
        <v>8.0299999999999994</v>
      </c>
      <c r="H46" s="37">
        <f>B46-G46-F46</f>
        <v>15.690000000000001</v>
      </c>
      <c r="I46" s="12">
        <v>3</v>
      </c>
      <c r="J46" s="13">
        <v>6580</v>
      </c>
      <c r="K46" s="32">
        <f>ROUND($F$42+$F$43+$F$44+$F$45-$F$15+$F$46,2)</f>
        <v>253.71</v>
      </c>
      <c r="M46" s="39" t="s">
        <v>21</v>
      </c>
      <c r="O46" s="1"/>
      <c r="P46" s="5">
        <v>3</v>
      </c>
      <c r="Q46" s="13">
        <v>6580</v>
      </c>
      <c r="R46" s="33">
        <f>+K46*$R$6</f>
        <v>228.339</v>
      </c>
      <c r="S46" s="32"/>
    </row>
    <row r="47" spans="1:22" ht="18.75" thickBot="1" x14ac:dyDescent="0.3">
      <c r="B47" s="97">
        <f>SUM(B42:B46)</f>
        <v>4389.63</v>
      </c>
      <c r="C47" s="27">
        <f>B48-F47-G47-H47</f>
        <v>0</v>
      </c>
      <c r="D47" s="7"/>
      <c r="E47" s="1"/>
      <c r="F47" s="97">
        <f>SUM(F37:F46)</f>
        <v>254.91000000000003</v>
      </c>
      <c r="G47" s="97">
        <f>SUM(G37:G46)</f>
        <v>1343.02</v>
      </c>
      <c r="H47" s="71">
        <f>SUM(H37:H46)</f>
        <v>11190.340000000002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12788.269999999999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45.65</v>
      </c>
      <c r="M48" s="5" t="s">
        <v>40</v>
      </c>
      <c r="O48" s="1"/>
      <c r="P48" s="5">
        <v>3</v>
      </c>
      <c r="Q48" s="13">
        <v>6300</v>
      </c>
      <c r="R48" s="33">
        <f>+K48*$R$6</f>
        <v>41.085000000000001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-3.69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-3.3210000000000002</v>
      </c>
      <c r="S50" s="32"/>
    </row>
    <row r="51" spans="1:23" x14ac:dyDescent="0.25">
      <c r="A51" s="25" t="s">
        <v>78</v>
      </c>
      <c r="B51" s="80">
        <f>B23</f>
        <v>1889.57</v>
      </c>
      <c r="C51" s="106"/>
      <c r="D51" s="28">
        <v>6570</v>
      </c>
      <c r="E51" s="29"/>
      <c r="F51" s="81">
        <f>F23</f>
        <v>168.71</v>
      </c>
      <c r="G51" s="107">
        <f>G23</f>
        <v>672.64</v>
      </c>
      <c r="H51" s="31">
        <f>B51-G51-F51</f>
        <v>1048.2199999999998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692.31</v>
      </c>
      <c r="C52" s="27"/>
      <c r="F52" s="6">
        <f>F22</f>
        <v>0</v>
      </c>
      <c r="G52" s="88">
        <f>G22</f>
        <v>0</v>
      </c>
      <c r="H52" s="37">
        <f>B52-F52-G52</f>
        <v>692.31</v>
      </c>
      <c r="I52" s="12">
        <v>3</v>
      </c>
      <c r="J52" s="13">
        <v>6570</v>
      </c>
      <c r="K52" s="32">
        <f>-$F$23+$F$51+$F$58</f>
        <v>59.62</v>
      </c>
      <c r="M52" s="5" t="s">
        <v>25</v>
      </c>
      <c r="O52" s="1"/>
      <c r="P52" s="5">
        <v>3</v>
      </c>
      <c r="Q52" s="13">
        <v>6570</v>
      </c>
      <c r="R52" s="33">
        <f>+K52</f>
        <v>59.62</v>
      </c>
      <c r="S52" s="32"/>
    </row>
    <row r="53" spans="1:23" x14ac:dyDescent="0.25">
      <c r="A53" s="34" t="s">
        <v>60</v>
      </c>
      <c r="B53" s="108">
        <f>SUM(B51:B52)</f>
        <v>2581.88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96.41</v>
      </c>
      <c r="M53" s="5" t="s">
        <v>27</v>
      </c>
      <c r="O53" s="1"/>
      <c r="P53" s="5">
        <v>3</v>
      </c>
      <c r="Q53" s="13">
        <v>6571</v>
      </c>
      <c r="R53" s="33">
        <f>+K53</f>
        <v>96.41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1392.07</v>
      </c>
      <c r="C55" s="111"/>
      <c r="D55" s="4">
        <v>6571</v>
      </c>
      <c r="F55" s="90">
        <v>96.41</v>
      </c>
      <c r="G55" s="91">
        <v>396.84</v>
      </c>
      <c r="H55" s="37">
        <f>B55-F55-G55</f>
        <v>898.81999999999994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1641.06</v>
      </c>
      <c r="C56" s="111"/>
      <c r="D56" s="4">
        <v>6571</v>
      </c>
      <c r="F56" s="93"/>
      <c r="G56" s="93"/>
      <c r="H56" s="37">
        <f>B56-F56-G56</f>
        <v>1641.06</v>
      </c>
      <c r="I56" s="12"/>
      <c r="J56" s="13"/>
      <c r="K56" s="86">
        <f>SUM(K43:K55)</f>
        <v>4403.1299999999992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3988.0949999999998</v>
      </c>
    </row>
    <row r="57" spans="1:23" ht="18.75" thickTop="1" x14ac:dyDescent="0.25">
      <c r="A57" s="34" t="s">
        <v>82</v>
      </c>
      <c r="B57" s="83"/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596.16999999999996</v>
      </c>
      <c r="C58" s="111"/>
      <c r="D58" s="4">
        <v>6570</v>
      </c>
      <c r="F58" s="88">
        <f>ROUND(B58*10%,2)</f>
        <v>59.62</v>
      </c>
      <c r="G58" s="88">
        <f>ROUND(B58*30%,2)</f>
        <v>178.85</v>
      </c>
      <c r="H58" s="37">
        <f>ROUND(B58-F58-G58,2)</f>
        <v>357.7</v>
      </c>
      <c r="I58" s="52">
        <v>1</v>
      </c>
      <c r="J58" s="10">
        <v>1012</v>
      </c>
      <c r="K58" s="113">
        <f>-(K23+K40+K56+K74+K84+K90)-K59</f>
        <v>-52998.71</v>
      </c>
      <c r="M58" s="1"/>
      <c r="N58" s="32">
        <f>+'[2]1012-CNB Checking'!$F$30</f>
        <v>52998.71</v>
      </c>
      <c r="O58" s="114">
        <f>+K58+N58</f>
        <v>0</v>
      </c>
      <c r="P58" s="32"/>
      <c r="R58" s="33"/>
    </row>
    <row r="59" spans="1:23" ht="18.75" thickTop="1" x14ac:dyDescent="0.25">
      <c r="A59" s="34" t="s">
        <v>48</v>
      </c>
      <c r="B59" s="83">
        <f>B24</f>
        <v>409.58</v>
      </c>
      <c r="C59" s="27"/>
      <c r="F59" s="88">
        <f>F24</f>
        <v>0</v>
      </c>
      <c r="G59" s="88">
        <f>G24</f>
        <v>123.58</v>
      </c>
      <c r="H59" s="37">
        <f>B59-F59-G59</f>
        <v>286</v>
      </c>
      <c r="I59" s="52">
        <v>1</v>
      </c>
      <c r="J59" s="10"/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387.31</v>
      </c>
      <c r="C60" s="27"/>
      <c r="F60" s="88">
        <f>F25</f>
        <v>101.92</v>
      </c>
      <c r="G60" s="88">
        <f>G25</f>
        <v>0</v>
      </c>
      <c r="H60" s="37">
        <f>B60-F60-G60</f>
        <v>285.39</v>
      </c>
      <c r="I60" s="115" t="s">
        <v>85</v>
      </c>
      <c r="K60" s="32"/>
      <c r="O60" s="1"/>
      <c r="R60" s="33"/>
    </row>
    <row r="61" spans="1:23" ht="18.75" thickBot="1" x14ac:dyDescent="0.3">
      <c r="A61" s="34" t="s">
        <v>60</v>
      </c>
      <c r="B61" s="116">
        <f>B53+B59+B60+B55+B58+B57</f>
        <v>5367.01</v>
      </c>
      <c r="C61" s="117"/>
      <c r="D61" s="7"/>
      <c r="E61" s="1"/>
      <c r="F61" s="71">
        <f>F51+F55</f>
        <v>265.12</v>
      </c>
      <c r="G61" s="71">
        <f>G51+G55</f>
        <v>1069.48</v>
      </c>
      <c r="H61" s="118">
        <f>B61-G61</f>
        <v>4297.5300000000007</v>
      </c>
      <c r="I61" s="115">
        <v>1</v>
      </c>
      <c r="J61" s="119">
        <v>1831</v>
      </c>
      <c r="K61" s="120">
        <v>2295</v>
      </c>
      <c r="M61" s="5" t="s">
        <v>42</v>
      </c>
      <c r="O61" s="121"/>
      <c r="P61" s="5">
        <v>1</v>
      </c>
      <c r="Q61" s="5">
        <v>1831</v>
      </c>
      <c r="R61" s="3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/>
      <c r="M62" s="5" t="s">
        <v>86</v>
      </c>
      <c r="O62" s="1"/>
      <c r="P62" s="5">
        <v>1</v>
      </c>
      <c r="Q62" s="5">
        <v>6551</v>
      </c>
      <c r="R62" s="3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5">
        <v>1</v>
      </c>
      <c r="Q63" s="5">
        <v>6551</v>
      </c>
      <c r="R63" s="3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5">
        <v>1</v>
      </c>
      <c r="Q64" s="5">
        <v>6630</v>
      </c>
      <c r="R64" s="3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>
        <v>34.619999999999997</v>
      </c>
      <c r="M65" s="5" t="s">
        <v>90</v>
      </c>
      <c r="O65" s="1"/>
      <c r="P65" s="5">
        <v>1</v>
      </c>
      <c r="Q65" s="5">
        <v>6630</v>
      </c>
      <c r="R65" s="3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v>383.78</v>
      </c>
      <c r="M66" s="5" t="s">
        <v>91</v>
      </c>
      <c r="O66" s="1"/>
      <c r="P66" s="5">
        <v>1</v>
      </c>
      <c r="Q66" s="5">
        <v>6565</v>
      </c>
      <c r="R66" s="3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5">
        <v>1</v>
      </c>
      <c r="Q67" s="5">
        <v>6560</v>
      </c>
      <c r="R67" s="33"/>
      <c r="S67" s="32"/>
    </row>
    <row r="68" spans="1:20" x14ac:dyDescent="0.25">
      <c r="F68" s="6"/>
      <c r="I68" s="85"/>
      <c r="K68" s="120"/>
      <c r="O68" s="1"/>
      <c r="R68" s="33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33"/>
    </row>
    <row r="70" spans="1:20" x14ac:dyDescent="0.25">
      <c r="A70" s="25" t="s">
        <v>94</v>
      </c>
      <c r="B70" s="26">
        <f>454.95+1.54</f>
        <v>456.49</v>
      </c>
      <c r="C70" s="106"/>
      <c r="D70" s="28">
        <v>6300</v>
      </c>
      <c r="E70" s="29"/>
      <c r="F70" s="81">
        <f>B70*F69</f>
        <v>45.649000000000001</v>
      </c>
      <c r="G70" s="107">
        <f>B70*G69</f>
        <v>136.947</v>
      </c>
      <c r="H70" s="31">
        <f>B70*H69-0</f>
        <v>273.89400000000001</v>
      </c>
      <c r="I70" s="85"/>
      <c r="K70" s="120"/>
      <c r="O70" s="1"/>
      <c r="R70" s="33"/>
      <c r="T70" s="32"/>
    </row>
    <row r="71" spans="1:20" ht="21" thickBot="1" x14ac:dyDescent="0.35">
      <c r="A71" s="34" t="s">
        <v>60</v>
      </c>
      <c r="B71" s="116">
        <f>SUM(B70)</f>
        <v>456.49</v>
      </c>
      <c r="C71" s="117"/>
      <c r="D71" s="7"/>
      <c r="E71" s="1"/>
      <c r="F71" s="71">
        <f>F70</f>
        <v>45.649000000000001</v>
      </c>
      <c r="G71" s="71">
        <f>G70</f>
        <v>136.947</v>
      </c>
      <c r="H71" s="118">
        <f>H70</f>
        <v>273.89400000000001</v>
      </c>
      <c r="I71" s="85"/>
      <c r="J71" s="85"/>
      <c r="K71" s="120"/>
      <c r="M71" s="125"/>
      <c r="O71" s="1"/>
      <c r="R71" s="33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33"/>
    </row>
    <row r="73" spans="1:20" ht="18.75" thickBot="1" x14ac:dyDescent="0.3">
      <c r="F73" s="6"/>
      <c r="I73" s="85"/>
      <c r="K73" s="127"/>
      <c r="O73" s="1"/>
      <c r="R73" s="33"/>
    </row>
    <row r="74" spans="1:20" ht="18.75" thickBot="1" x14ac:dyDescent="0.3">
      <c r="A74" s="1" t="s">
        <v>96</v>
      </c>
      <c r="B74" s="128">
        <f>ROUND((B71+B66+B61+B48+B32),2)</f>
        <v>52998.71</v>
      </c>
      <c r="F74" s="6"/>
      <c r="I74" s="85" t="s">
        <v>97</v>
      </c>
      <c r="K74" s="129">
        <f>SUM(K61:K73)</f>
        <v>2713.3999999999996</v>
      </c>
      <c r="O74" s="1"/>
      <c r="R74" s="33"/>
    </row>
    <row r="75" spans="1:20" ht="18.75" thickBot="1" x14ac:dyDescent="0.3">
      <c r="F75" s="6"/>
      <c r="I75" s="85">
        <v>2</v>
      </c>
      <c r="J75" s="119" t="s">
        <v>98</v>
      </c>
      <c r="K75" s="120"/>
      <c r="M75" s="5" t="s">
        <v>86</v>
      </c>
      <c r="O75" s="1"/>
      <c r="P75" s="5">
        <v>2</v>
      </c>
      <c r="Q75" s="119">
        <v>6551</v>
      </c>
      <c r="R75" s="33"/>
      <c r="S75" s="32"/>
    </row>
    <row r="76" spans="1:20" x14ac:dyDescent="0.25">
      <c r="A76" s="129" t="s">
        <v>99</v>
      </c>
      <c r="B76" s="26">
        <v>32745.88</v>
      </c>
      <c r="C76" s="130"/>
      <c r="D76" s="131" t="s">
        <v>100</v>
      </c>
      <c r="E76" s="6"/>
      <c r="F76" s="6"/>
      <c r="G76" s="132">
        <v>32745.88</v>
      </c>
      <c r="H76" s="6"/>
      <c r="I76" s="85">
        <v>2</v>
      </c>
      <c r="J76" s="119">
        <v>1831</v>
      </c>
      <c r="K76" s="120">
        <v>255</v>
      </c>
      <c r="M76" s="5" t="s">
        <v>42</v>
      </c>
      <c r="O76" s="1"/>
      <c r="P76" s="5">
        <v>2</v>
      </c>
      <c r="Q76" s="119">
        <v>6551</v>
      </c>
      <c r="R76" s="3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5">
        <v>2</v>
      </c>
      <c r="Q77" s="5">
        <v>6630</v>
      </c>
      <c r="R77" s="3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5">
        <v>2</v>
      </c>
      <c r="Q78" s="5">
        <v>6630</v>
      </c>
      <c r="R78" s="33"/>
      <c r="S78" s="32"/>
    </row>
    <row r="79" spans="1:20" ht="18.75" thickBot="1" x14ac:dyDescent="0.3">
      <c r="A79" s="134" t="s">
        <v>104</v>
      </c>
      <c r="B79" s="135">
        <f>ROUND(SUM(B76:B78),2)</f>
        <v>32745.88</v>
      </c>
      <c r="C79" s="130"/>
      <c r="D79" s="131"/>
      <c r="E79" s="6"/>
      <c r="F79" s="6"/>
      <c r="G79" s="129">
        <f>SUM(G76:G78)</f>
        <v>32745.88</v>
      </c>
      <c r="H79" s="6" t="s">
        <v>105</v>
      </c>
      <c r="I79" s="85">
        <v>2</v>
      </c>
      <c r="J79" s="5">
        <v>6551</v>
      </c>
      <c r="K79" s="120">
        <v>348.87</v>
      </c>
      <c r="M79" s="5" t="s">
        <v>91</v>
      </c>
      <c r="O79" s="1"/>
      <c r="P79" s="5">
        <v>2</v>
      </c>
      <c r="Q79" s="5">
        <v>6565</v>
      </c>
      <c r="R79" s="33"/>
      <c r="S79" s="32"/>
    </row>
    <row r="80" spans="1:20" ht="18.75" thickBot="1" x14ac:dyDescent="0.3">
      <c r="A80" s="1" t="s">
        <v>106</v>
      </c>
      <c r="B80" s="26">
        <v>52542.22</v>
      </c>
      <c r="H80" s="128" t="str">
        <f>IF(B79-G79=0,"ok","NO")</f>
        <v>ok</v>
      </c>
      <c r="I80" s="85">
        <v>2</v>
      </c>
      <c r="J80" s="5">
        <v>6012</v>
      </c>
      <c r="K80" s="120"/>
      <c r="M80" s="5" t="s">
        <v>92</v>
      </c>
      <c r="O80" s="1"/>
      <c r="P80" s="5">
        <v>2</v>
      </c>
      <c r="Q80" s="119" t="s">
        <v>107</v>
      </c>
      <c r="R80" s="33"/>
      <c r="S80" s="32"/>
    </row>
    <row r="81" spans="1:19" ht="18.75" thickBot="1" x14ac:dyDescent="0.3">
      <c r="A81" s="1" t="s">
        <v>94</v>
      </c>
      <c r="B81" s="3">
        <f>B66+B71</f>
        <v>456.49</v>
      </c>
      <c r="C81" s="1" t="s">
        <v>108</v>
      </c>
      <c r="G81" s="32">
        <f>+G79-B76</f>
        <v>0</v>
      </c>
      <c r="I81" s="85"/>
      <c r="J81" s="119"/>
      <c r="K81" s="127"/>
      <c r="O81" s="1"/>
      <c r="P81" s="5">
        <v>2</v>
      </c>
      <c r="Q81" s="119" t="s">
        <v>109</v>
      </c>
      <c r="R81" s="33"/>
      <c r="S81" s="32"/>
    </row>
    <row r="82" spans="1:19" ht="18.75" thickBot="1" x14ac:dyDescent="0.3">
      <c r="B82" s="3">
        <f>+B80+B81</f>
        <v>52998.71</v>
      </c>
      <c r="C82" s="128" t="str">
        <f>IF(B74=B82,"ok","NO")</f>
        <v>ok</v>
      </c>
      <c r="F82" s="136"/>
      <c r="I82" s="85"/>
      <c r="J82" s="119"/>
      <c r="K82" s="127"/>
      <c r="O82" s="1"/>
      <c r="R82" s="33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</row>
    <row r="84" spans="1:19" x14ac:dyDescent="0.25">
      <c r="G84" s="32"/>
      <c r="I84" s="85"/>
      <c r="K84" s="129">
        <f>SUM(K75:K83)</f>
        <v>615.41000000000008</v>
      </c>
      <c r="O84" s="1"/>
      <c r="P84" s="5">
        <v>3</v>
      </c>
      <c r="Q84" s="5">
        <v>6551</v>
      </c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5"/>
      <c r="S85" s="32"/>
    </row>
    <row r="86" spans="1:19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5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112</v>
      </c>
      <c r="N88" s="5"/>
      <c r="O88" s="1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3328.8099999999995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38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F25E-42DD-4862-A15E-6C58DD5F782F}">
  <sheetPr>
    <tabColor rgb="FF00B050"/>
    <pageSetUpPr fitToPage="1"/>
  </sheetPr>
  <dimension ref="A2:Z99"/>
  <sheetViews>
    <sheetView zoomScale="70" zoomScaleNormal="70" zoomScalePageLayoutView="70" workbookViewId="0">
      <selection activeCell="A55" sqref="A55:A58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4.2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customWidth="1"/>
    <col min="17" max="17" width="15.25" style="5" customWidth="1"/>
    <col min="18" max="18" width="18.125" style="5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43517</v>
      </c>
      <c r="K2" s="9"/>
      <c r="M2" s="5" t="s">
        <v>1</v>
      </c>
    </row>
    <row r="3" spans="1:19" x14ac:dyDescent="0.25">
      <c r="A3" s="10" t="s">
        <v>2</v>
      </c>
      <c r="B3" s="8">
        <v>43511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0.9</v>
      </c>
    </row>
    <row r="7" spans="1:19" x14ac:dyDescent="0.25">
      <c r="A7" s="25" t="s">
        <v>14</v>
      </c>
      <c r="B7" s="26">
        <v>45604.14</v>
      </c>
      <c r="C7" s="27">
        <f>B7-F7-G7-H7</f>
        <v>0</v>
      </c>
      <c r="D7" s="28">
        <v>6500</v>
      </c>
      <c r="E7" s="29"/>
      <c r="F7" s="30">
        <v>4039.73</v>
      </c>
      <c r="G7" s="30">
        <v>17705.27</v>
      </c>
      <c r="H7" s="31">
        <f t="shared" ref="H7:H31" si="0">B7-F7-G7</f>
        <v>23859.139999999996</v>
      </c>
      <c r="I7" s="12">
        <v>1</v>
      </c>
      <c r="J7" s="13">
        <v>6500</v>
      </c>
      <c r="K7" s="32">
        <f>H7</f>
        <v>23859.139999999996</v>
      </c>
      <c r="M7" s="5" t="s">
        <v>15</v>
      </c>
      <c r="P7" s="5">
        <v>1</v>
      </c>
      <c r="Q7" s="13">
        <v>6500</v>
      </c>
      <c r="R7" s="33">
        <f>+K7*$R$6</f>
        <v>21473.225999999995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3889.55</v>
      </c>
      <c r="C10" s="27">
        <f t="shared" ref="C10:C30" si="1">B10-F10-G10-H10</f>
        <v>0</v>
      </c>
      <c r="D10" s="4">
        <v>6040</v>
      </c>
      <c r="F10" s="35">
        <f>+K90</f>
        <v>3.4619999999999997</v>
      </c>
      <c r="G10" s="36">
        <f>+K84</f>
        <v>1076.6759999999999</v>
      </c>
      <c r="H10" s="37">
        <f t="shared" si="0"/>
        <v>2809.4120000000003</v>
      </c>
      <c r="I10" s="12">
        <v>1</v>
      </c>
      <c r="J10" s="13">
        <v>6580</v>
      </c>
      <c r="K10" s="32">
        <f>ROUND($H$42+$H$43+$H$44+$H$45-$H$15+$H$46,2)</f>
        <v>2823.33</v>
      </c>
      <c r="M10" s="39" t="s">
        <v>21</v>
      </c>
      <c r="P10" s="5">
        <v>1</v>
      </c>
      <c r="Q10" s="13">
        <v>6580</v>
      </c>
      <c r="R10" s="33">
        <f>+K10*$R$6</f>
        <v>2540.9969999999998</v>
      </c>
      <c r="S10" s="32"/>
    </row>
    <row r="11" spans="1:19" x14ac:dyDescent="0.25">
      <c r="A11" s="34" t="s">
        <v>22</v>
      </c>
      <c r="B11" s="40">
        <v>2692.21</v>
      </c>
      <c r="C11" s="27">
        <f t="shared" si="1"/>
        <v>0</v>
      </c>
      <c r="D11" s="4">
        <v>2100</v>
      </c>
      <c r="F11" s="41"/>
      <c r="G11" s="41"/>
      <c r="H11" s="37">
        <f t="shared" si="0"/>
        <v>2692.21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629.65</v>
      </c>
      <c r="C12" s="27">
        <f t="shared" si="1"/>
        <v>0</v>
      </c>
      <c r="D12" s="4">
        <v>2100</v>
      </c>
      <c r="F12" s="41"/>
      <c r="G12" s="41"/>
      <c r="H12" s="37">
        <f t="shared" si="0"/>
        <v>629.65</v>
      </c>
      <c r="I12" s="12">
        <v>1</v>
      </c>
      <c r="J12" s="13">
        <v>6570</v>
      </c>
      <c r="K12" s="32">
        <f>-H23+H51+H58</f>
        <v>358.64</v>
      </c>
      <c r="M12" s="5" t="s">
        <v>25</v>
      </c>
      <c r="P12" s="5">
        <v>1</v>
      </c>
      <c r="Q12" s="13">
        <v>6570</v>
      </c>
      <c r="R12" s="33">
        <f>+K12*R6</f>
        <v>322.77600000000001</v>
      </c>
      <c r="S12" s="32"/>
    </row>
    <row r="13" spans="1:19" x14ac:dyDescent="0.25">
      <c r="A13" s="34" t="s">
        <v>26</v>
      </c>
      <c r="B13" s="42">
        <v>3450.33</v>
      </c>
      <c r="C13" s="27">
        <f t="shared" si="1"/>
        <v>0</v>
      </c>
      <c r="D13" s="4">
        <v>2110</v>
      </c>
      <c r="F13" s="41"/>
      <c r="G13" s="41"/>
      <c r="H13" s="37">
        <f t="shared" si="0"/>
        <v>3450.33</v>
      </c>
      <c r="I13" s="12">
        <v>1</v>
      </c>
      <c r="J13" s="13">
        <v>6571</v>
      </c>
      <c r="K13" s="32">
        <f>ROUND(H55,2)</f>
        <v>893.3</v>
      </c>
      <c r="M13" s="43" t="s">
        <v>27</v>
      </c>
      <c r="P13" s="5">
        <v>1</v>
      </c>
      <c r="Q13" s="13">
        <v>6571</v>
      </c>
      <c r="R13" s="33">
        <f>+K13*$R$6</f>
        <v>803.97</v>
      </c>
      <c r="S13" s="32"/>
    </row>
    <row r="14" spans="1:19" x14ac:dyDescent="0.25">
      <c r="A14" s="34" t="s">
        <v>28</v>
      </c>
      <c r="B14" s="42">
        <v>1886.58</v>
      </c>
      <c r="C14" s="27">
        <f t="shared" si="1"/>
        <v>0</v>
      </c>
      <c r="D14" s="4">
        <v>2120</v>
      </c>
      <c r="F14" s="41"/>
      <c r="G14" s="41"/>
      <c r="H14" s="37">
        <f t="shared" si="0"/>
        <v>1886.58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24</v>
      </c>
      <c r="C15" s="27">
        <f t="shared" si="1"/>
        <v>0</v>
      </c>
      <c r="D15" s="4">
        <v>6580</v>
      </c>
      <c r="F15" s="44">
        <v>2.4</v>
      </c>
      <c r="G15" s="44">
        <v>14.4</v>
      </c>
      <c r="H15" s="37">
        <f t="shared" si="0"/>
        <v>7.2000000000000011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/>
    </row>
    <row r="16" spans="1:19" ht="18.75" thickBot="1" x14ac:dyDescent="0.3">
      <c r="A16" s="34" t="s">
        <v>33</v>
      </c>
      <c r="B16" s="51">
        <v>69.75</v>
      </c>
      <c r="C16" s="27">
        <f t="shared" si="1"/>
        <v>0</v>
      </c>
      <c r="D16" s="7">
        <v>2120</v>
      </c>
      <c r="F16" s="44">
        <v>3.93</v>
      </c>
      <c r="G16" s="44">
        <v>41.75</v>
      </c>
      <c r="H16" s="37">
        <f t="shared" si="0"/>
        <v>24.069999999999993</v>
      </c>
      <c r="I16" s="52">
        <v>1</v>
      </c>
      <c r="J16" s="10">
        <v>2120</v>
      </c>
      <c r="K16" s="21">
        <f>-H16</f>
        <v>-24.069999999999993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-21.662999999999993</v>
      </c>
      <c r="S16" s="32"/>
    </row>
    <row r="17" spans="1:26" x14ac:dyDescent="0.25">
      <c r="A17" s="34" t="s">
        <v>35</v>
      </c>
      <c r="B17" s="53">
        <v>24</v>
      </c>
      <c r="C17" s="27">
        <f t="shared" si="1"/>
        <v>0</v>
      </c>
      <c r="D17" s="54">
        <v>1830</v>
      </c>
      <c r="F17" s="41"/>
      <c r="G17" s="55"/>
      <c r="H17" s="37">
        <f t="shared" si="0"/>
        <v>24</v>
      </c>
      <c r="I17" s="12">
        <v>1</v>
      </c>
      <c r="J17" s="13">
        <v>1830</v>
      </c>
      <c r="K17" s="56">
        <f>ROUND(-H20-H27-H17-H18-H21-H26-H28,2)</f>
        <v>-1058.3</v>
      </c>
      <c r="M17" s="5" t="s">
        <v>36</v>
      </c>
      <c r="P17" s="5">
        <v>1</v>
      </c>
      <c r="Q17" s="13">
        <v>1830</v>
      </c>
      <c r="R17" s="33">
        <f>+K17*$R$6</f>
        <v>-952.47</v>
      </c>
      <c r="S17" s="32"/>
    </row>
    <row r="18" spans="1:26" x14ac:dyDescent="0.25">
      <c r="A18" s="34" t="s">
        <v>37</v>
      </c>
      <c r="B18" s="57">
        <v>144.12</v>
      </c>
      <c r="C18" s="27">
        <f t="shared" si="1"/>
        <v>0</v>
      </c>
      <c r="D18" s="54">
        <v>1830</v>
      </c>
      <c r="F18" s="41"/>
      <c r="G18" s="44">
        <v>59.98</v>
      </c>
      <c r="H18" s="37">
        <f t="shared" si="0"/>
        <v>84.140000000000015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57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273.89</v>
      </c>
      <c r="M19" s="5" t="s">
        <v>40</v>
      </c>
      <c r="P19" s="5">
        <v>1</v>
      </c>
      <c r="Q19" s="13">
        <v>6300</v>
      </c>
      <c r="R19" s="33">
        <f>+K19*$R$6</f>
        <v>246.501</v>
      </c>
      <c r="S19" s="32"/>
    </row>
    <row r="20" spans="1:26" x14ac:dyDescent="0.25">
      <c r="A20" s="34" t="s">
        <v>41</v>
      </c>
      <c r="B20" s="57">
        <v>1751.52</v>
      </c>
      <c r="C20" s="27">
        <f t="shared" si="1"/>
        <v>0</v>
      </c>
      <c r="D20" s="4">
        <v>1830</v>
      </c>
      <c r="F20" s="41"/>
      <c r="G20" s="44">
        <v>809.87</v>
      </c>
      <c r="H20" s="37">
        <f t="shared" si="0"/>
        <v>941.65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57">
        <v>55.56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-70.44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57">
        <v>692.31</v>
      </c>
      <c r="C22" s="27">
        <f t="shared" si="1"/>
        <v>0</v>
      </c>
      <c r="F22" s="41"/>
      <c r="G22" s="55"/>
      <c r="H22" s="37">
        <f t="shared" si="0"/>
        <v>692.31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57">
        <v>1861.43</v>
      </c>
      <c r="C23" s="27">
        <f t="shared" si="1"/>
        <v>0</v>
      </c>
      <c r="D23" s="4">
        <v>6570</v>
      </c>
      <c r="F23" s="44">
        <v>180.02</v>
      </c>
      <c r="G23" s="44">
        <v>639.91</v>
      </c>
      <c r="H23" s="37">
        <f t="shared" si="0"/>
        <v>1041.5</v>
      </c>
      <c r="I23" s="12"/>
      <c r="J23" s="13"/>
      <c r="K23" s="59">
        <f>SUM(K7:K22)</f>
        <v>27125.929999999993</v>
      </c>
      <c r="N23" s="1">
        <v>2040</v>
      </c>
      <c r="P23" s="5">
        <v>1</v>
      </c>
      <c r="Q23" s="13">
        <v>2040</v>
      </c>
      <c r="R23" s="60">
        <f>SUM(R7:R22)</f>
        <v>24413.336999999996</v>
      </c>
      <c r="S23" s="6"/>
    </row>
    <row r="24" spans="1:26" ht="18.75" thickTop="1" x14ac:dyDescent="0.25">
      <c r="A24" s="34" t="s">
        <v>48</v>
      </c>
      <c r="B24" s="57">
        <v>409.58</v>
      </c>
      <c r="C24" s="27">
        <f t="shared" si="1"/>
        <v>0</v>
      </c>
      <c r="F24" s="41"/>
      <c r="G24" s="44">
        <v>123.58</v>
      </c>
      <c r="H24" s="37">
        <f t="shared" si="0"/>
        <v>286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57">
        <v>389.23</v>
      </c>
      <c r="C25" s="27">
        <f t="shared" si="1"/>
        <v>0</v>
      </c>
      <c r="F25" s="44">
        <v>101.92</v>
      </c>
      <c r="G25" s="44"/>
      <c r="H25" s="37">
        <f t="shared" si="0"/>
        <v>287.31</v>
      </c>
      <c r="I25" s="61">
        <v>2</v>
      </c>
      <c r="J25" s="62"/>
      <c r="K25" s="32"/>
      <c r="Q25" s="62"/>
      <c r="R25" s="33"/>
    </row>
    <row r="26" spans="1:26" x14ac:dyDescent="0.25">
      <c r="A26" s="34" t="s">
        <v>50</v>
      </c>
      <c r="B26" s="57">
        <v>16.940000000000001</v>
      </c>
      <c r="C26" s="27">
        <f t="shared" si="1"/>
        <v>0</v>
      </c>
      <c r="D26" s="54">
        <v>1830</v>
      </c>
      <c r="F26" s="41"/>
      <c r="G26" s="55"/>
      <c r="H26" s="37">
        <f t="shared" si="0"/>
        <v>16.940000000000001</v>
      </c>
      <c r="I26" s="12">
        <v>2</v>
      </c>
      <c r="J26" s="13">
        <v>6500</v>
      </c>
      <c r="K26" s="32">
        <f>G7</f>
        <v>17705.27</v>
      </c>
      <c r="M26" s="5" t="s">
        <v>51</v>
      </c>
      <c r="O26" s="32"/>
      <c r="P26" s="5">
        <v>2</v>
      </c>
      <c r="Q26" s="13">
        <v>6500</v>
      </c>
      <c r="R26" s="33">
        <f>+K26*R6</f>
        <v>15934.743</v>
      </c>
      <c r="S26" s="32"/>
      <c r="X26" s="32"/>
    </row>
    <row r="27" spans="1:26" x14ac:dyDescent="0.25">
      <c r="A27" s="34" t="s">
        <v>52</v>
      </c>
      <c r="B27" s="57"/>
      <c r="C27" s="63">
        <f t="shared" si="1"/>
        <v>0</v>
      </c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64">
        <v>91.13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62.009999999999991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57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1035.8</v>
      </c>
      <c r="M29" s="39" t="s">
        <v>21</v>
      </c>
      <c r="P29" s="5">
        <v>2</v>
      </c>
      <c r="Q29" s="13">
        <v>6580</v>
      </c>
      <c r="R29" s="33">
        <f>+K29*R6</f>
        <v>932.22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179.33</v>
      </c>
      <c r="M31" s="5" t="s">
        <v>25</v>
      </c>
      <c r="P31" s="5">
        <v>2</v>
      </c>
      <c r="Q31" s="13">
        <v>6570</v>
      </c>
      <c r="R31" s="33">
        <f>+K31*$R$6</f>
        <v>161.39700000000002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</f>
        <v>35305.35</v>
      </c>
      <c r="C32" s="72">
        <f>B32-F32-G32-H32</f>
        <v>0</v>
      </c>
      <c r="D32" s="71"/>
      <c r="E32" s="71"/>
      <c r="F32" s="71">
        <f t="shared" ref="F32:H32" si="2">F7+F8+F10-F11-F12-F13-F14-F15-F16-F19-F29-F20-F26-F25-F28-F17-F21-F18-F23-F22-F24+F30+F31</f>
        <v>3744.172</v>
      </c>
      <c r="G32" s="71">
        <f t="shared" si="2"/>
        <v>16948.085999999999</v>
      </c>
      <c r="H32" s="71">
        <f t="shared" si="2"/>
        <v>14613.091999999991</v>
      </c>
      <c r="I32" s="12">
        <v>2</v>
      </c>
      <c r="J32" s="13">
        <v>6571</v>
      </c>
      <c r="K32" s="32">
        <f>G55</f>
        <v>378.82</v>
      </c>
      <c r="M32" s="43" t="s">
        <v>27</v>
      </c>
      <c r="P32" s="5">
        <v>2</v>
      </c>
      <c r="Q32" s="13">
        <v>6571</v>
      </c>
      <c r="R32" s="33">
        <f>+K32*$R$6</f>
        <v>340.93799999999999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/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-41.75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-37.575000000000003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-1014.22</v>
      </c>
      <c r="M36" s="5" t="s">
        <v>36</v>
      </c>
      <c r="O36" s="1"/>
      <c r="P36" s="5">
        <v>2</v>
      </c>
      <c r="Q36" s="13">
        <v>1830</v>
      </c>
      <c r="R36" s="33">
        <f>+K36*$R$6</f>
        <v>-912.798</v>
      </c>
      <c r="S36" s="32"/>
    </row>
    <row r="37" spans="1:22" x14ac:dyDescent="0.25">
      <c r="A37" s="25" t="s">
        <v>66</v>
      </c>
      <c r="B37" s="80">
        <f>B11</f>
        <v>2692.21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2692.21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629.65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629.65</v>
      </c>
      <c r="I38" s="12">
        <v>2</v>
      </c>
      <c r="J38" s="13">
        <v>6300</v>
      </c>
      <c r="K38" s="84">
        <f>ROUND(G70,2)</f>
        <v>136.94999999999999</v>
      </c>
      <c r="M38" s="5" t="s">
        <v>40</v>
      </c>
      <c r="O38" s="1"/>
      <c r="P38" s="5">
        <v>2</v>
      </c>
      <c r="Q38" s="13">
        <v>6300</v>
      </c>
      <c r="R38" s="33">
        <f>+K38*$R$6</f>
        <v>123.255</v>
      </c>
      <c r="S38" s="32"/>
    </row>
    <row r="39" spans="1:22" x14ac:dyDescent="0.25">
      <c r="A39" s="34" t="s">
        <v>68</v>
      </c>
      <c r="B39" s="83">
        <f>B13</f>
        <v>3450.33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3450.33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1886.58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1886.58</v>
      </c>
      <c r="I40" s="85"/>
      <c r="J40" s="5">
        <v>2040</v>
      </c>
      <c r="K40" s="86">
        <f>SUM(K26:K39)</f>
        <v>18380.2</v>
      </c>
      <c r="N40" s="1">
        <v>2040</v>
      </c>
      <c r="O40" s="1"/>
      <c r="P40" s="5">
        <v>2</v>
      </c>
      <c r="Q40" s="5">
        <v>2040</v>
      </c>
      <c r="R40" s="86">
        <f>SUM(R26:R39)</f>
        <v>16542.18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2692.19</v>
      </c>
      <c r="C42" s="27">
        <f>B42-F42-G42-H42</f>
        <v>0</v>
      </c>
      <c r="D42" s="4">
        <v>6580</v>
      </c>
      <c r="F42" s="90">
        <v>153.11000000000001</v>
      </c>
      <c r="G42" s="90">
        <v>774.24</v>
      </c>
      <c r="H42" s="37">
        <f>B42-F42-G42</f>
        <v>1764.84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629.65</v>
      </c>
      <c r="C43" s="27">
        <f>B43-F43-G43-H43</f>
        <v>0</v>
      </c>
      <c r="D43" s="4">
        <v>6580</v>
      </c>
      <c r="F43" s="90">
        <v>35.81</v>
      </c>
      <c r="G43" s="90">
        <v>181.08</v>
      </c>
      <c r="H43" s="37">
        <f>B43-F43-G43</f>
        <v>412.75999999999988</v>
      </c>
      <c r="I43" s="12">
        <v>3</v>
      </c>
      <c r="J43" s="13">
        <v>6500</v>
      </c>
      <c r="K43" s="92">
        <f>F7</f>
        <v>4039.73</v>
      </c>
      <c r="M43" s="5" t="s">
        <v>71</v>
      </c>
      <c r="O43" s="1"/>
      <c r="P43" s="5">
        <v>3</v>
      </c>
      <c r="Q43" s="13">
        <v>6500</v>
      </c>
      <c r="R43" s="33">
        <f>+K43*$R$6</f>
        <v>3635.7570000000001</v>
      </c>
      <c r="S43" s="32"/>
    </row>
    <row r="44" spans="1:22" x14ac:dyDescent="0.25">
      <c r="A44" s="34" t="s">
        <v>72</v>
      </c>
      <c r="B44" s="89">
        <v>75.7</v>
      </c>
      <c r="C44" s="27">
        <f>B44-F44-G44-H44</f>
        <v>0</v>
      </c>
      <c r="D44" s="4">
        <v>6580</v>
      </c>
      <c r="F44" s="90">
        <v>8.33</v>
      </c>
      <c r="G44" s="91">
        <v>13.89</v>
      </c>
      <c r="H44" s="37">
        <f>B44-G44-F44</f>
        <v>53.480000000000004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735.51</v>
      </c>
      <c r="C45" s="27">
        <f>B45-F45-G45-H45</f>
        <v>0</v>
      </c>
      <c r="D45" s="4">
        <v>6580</v>
      </c>
      <c r="F45" s="93">
        <v>72.650000000000006</v>
      </c>
      <c r="G45" s="94">
        <v>76.31</v>
      </c>
      <c r="H45" s="37">
        <f>B45-G45-F45</f>
        <v>586.55000000000007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19.510000000000002</v>
      </c>
      <c r="C46" s="27">
        <f>B46-F46-G46-H46</f>
        <v>0</v>
      </c>
      <c r="F46" s="95">
        <v>1.93</v>
      </c>
      <c r="G46" s="96">
        <v>4.68</v>
      </c>
      <c r="H46" s="37">
        <f>B46-G46-F46</f>
        <v>12.900000000000002</v>
      </c>
      <c r="I46" s="12">
        <v>3</v>
      </c>
      <c r="J46" s="13">
        <v>6580</v>
      </c>
      <c r="K46" s="32">
        <f>ROUND($F$42+$F$43+$F$44+$F$45-$F$15+$F$46,2)</f>
        <v>269.43</v>
      </c>
      <c r="M46" s="39" t="s">
        <v>21</v>
      </c>
      <c r="O46" s="1"/>
      <c r="P46" s="5">
        <v>3</v>
      </c>
      <c r="Q46" s="13">
        <v>6580</v>
      </c>
      <c r="R46" s="33">
        <f>+K46*$R$6</f>
        <v>242.48700000000002</v>
      </c>
      <c r="S46" s="32"/>
    </row>
    <row r="47" spans="1:22" ht="18.75" thickBot="1" x14ac:dyDescent="0.3">
      <c r="B47" s="97">
        <f>SUM(B42:B46)</f>
        <v>4152.5600000000004</v>
      </c>
      <c r="C47" s="27">
        <f>B48-F47-G47-H47</f>
        <v>0</v>
      </c>
      <c r="D47" s="7"/>
      <c r="E47" s="1"/>
      <c r="F47" s="97">
        <f>SUM(F37:F46)</f>
        <v>271.83000000000004</v>
      </c>
      <c r="G47" s="97">
        <f>SUM(G37:G46)</f>
        <v>1050.2</v>
      </c>
      <c r="H47" s="71">
        <f>SUM(H37:H46)</f>
        <v>11489.3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12811.330000000002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45.65</v>
      </c>
      <c r="M48" s="5" t="s">
        <v>40</v>
      </c>
      <c r="O48" s="1"/>
      <c r="P48" s="5">
        <v>3</v>
      </c>
      <c r="Q48" s="13">
        <v>6300</v>
      </c>
      <c r="R48" s="33">
        <f>+K48*$R$6</f>
        <v>41.085000000000001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-3.93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-3.5370000000000004</v>
      </c>
      <c r="S50" s="32"/>
    </row>
    <row r="51" spans="1:23" x14ac:dyDescent="0.25">
      <c r="A51" s="25" t="s">
        <v>78</v>
      </c>
      <c r="B51" s="80">
        <f>B23</f>
        <v>1861.43</v>
      </c>
      <c r="C51" s="106"/>
      <c r="D51" s="28">
        <v>6570</v>
      </c>
      <c r="E51" s="29"/>
      <c r="F51" s="81">
        <f>F23</f>
        <v>180.02</v>
      </c>
      <c r="G51" s="107">
        <f>G23</f>
        <v>639.91</v>
      </c>
      <c r="H51" s="31">
        <f>B51-G51-F51</f>
        <v>1041.5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692.31</v>
      </c>
      <c r="C52" s="27"/>
      <c r="F52" s="6">
        <f>F22</f>
        <v>0</v>
      </c>
      <c r="G52" s="88">
        <f>G22</f>
        <v>0</v>
      </c>
      <c r="H52" s="37">
        <f>B52-F52-G52</f>
        <v>692.31</v>
      </c>
      <c r="I52" s="12">
        <v>3</v>
      </c>
      <c r="J52" s="13">
        <v>6570</v>
      </c>
      <c r="K52" s="32">
        <f>-$F$23+$F$51+$F$58</f>
        <v>59.78</v>
      </c>
      <c r="M52" s="5" t="s">
        <v>25</v>
      </c>
      <c r="O52" s="1"/>
      <c r="P52" s="5">
        <v>3</v>
      </c>
      <c r="Q52" s="13">
        <v>6570</v>
      </c>
      <c r="R52" s="33">
        <f>+K52</f>
        <v>59.78</v>
      </c>
      <c r="S52" s="32"/>
    </row>
    <row r="53" spans="1:23" x14ac:dyDescent="0.25">
      <c r="A53" s="34" t="s">
        <v>60</v>
      </c>
      <c r="B53" s="108">
        <f>SUM(B51:B52)</f>
        <v>2553.7399999999998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102.87</v>
      </c>
      <c r="M53" s="5" t="s">
        <v>27</v>
      </c>
      <c r="O53" s="1"/>
      <c r="P53" s="5">
        <v>3</v>
      </c>
      <c r="Q53" s="13">
        <v>6571</v>
      </c>
      <c r="R53" s="33">
        <f>+K53</f>
        <v>102.87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1374.99</v>
      </c>
      <c r="C55" s="111"/>
      <c r="D55" s="4">
        <v>6571</v>
      </c>
      <c r="F55" s="90">
        <v>102.87</v>
      </c>
      <c r="G55" s="91">
        <v>378.82</v>
      </c>
      <c r="H55" s="37">
        <f>B55-F55-G55</f>
        <v>893.3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1641.06</v>
      </c>
      <c r="C56" s="111"/>
      <c r="D56" s="4">
        <v>6571</v>
      </c>
      <c r="F56" s="93"/>
      <c r="G56" s="93"/>
      <c r="H56" s="37">
        <f>B56-F56-G56</f>
        <v>1641.06</v>
      </c>
      <c r="I56" s="12"/>
      <c r="J56" s="13"/>
      <c r="K56" s="86">
        <f>SUM(K43:K55)</f>
        <v>4502.7799999999988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4078.4420000000005</v>
      </c>
    </row>
    <row r="57" spans="1:23" ht="18.75" thickTop="1" x14ac:dyDescent="0.25">
      <c r="A57" s="34" t="s">
        <v>82</v>
      </c>
      <c r="B57" s="83"/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597.75</v>
      </c>
      <c r="C58" s="111"/>
      <c r="D58" s="4">
        <v>6570</v>
      </c>
      <c r="F58" s="88">
        <f>ROUND(B58*10%,2)</f>
        <v>59.78</v>
      </c>
      <c r="G58" s="88">
        <f>ROUND(B58*30%,2)</f>
        <v>179.33</v>
      </c>
      <c r="H58" s="37">
        <f>ROUND(B58-F58-G58,2)</f>
        <v>358.64</v>
      </c>
      <c r="I58" s="52">
        <v>1</v>
      </c>
      <c r="J58" s="10">
        <v>1012</v>
      </c>
      <c r="K58" s="113">
        <f>-(K23+K40+K56+K74+K84+K90)-K59</f>
        <v>-53898.459999999985</v>
      </c>
      <c r="M58" s="1"/>
      <c r="N58" s="32">
        <f>+'[2]1012-CNB Checking'!$F$96</f>
        <v>53898.46</v>
      </c>
      <c r="O58" s="114">
        <f>+K58+N58</f>
        <v>0</v>
      </c>
      <c r="P58" s="32"/>
      <c r="R58" s="33"/>
    </row>
    <row r="59" spans="1:23" ht="18.75" thickTop="1" x14ac:dyDescent="0.25">
      <c r="A59" s="34" t="s">
        <v>48</v>
      </c>
      <c r="B59" s="83">
        <f>B24</f>
        <v>409.58</v>
      </c>
      <c r="C59" s="27"/>
      <c r="F59" s="88">
        <f>F24</f>
        <v>0</v>
      </c>
      <c r="G59" s="88">
        <f>G24</f>
        <v>123.58</v>
      </c>
      <c r="H59" s="37">
        <f>B59-F59-G59</f>
        <v>286</v>
      </c>
      <c r="I59" s="52">
        <v>1</v>
      </c>
      <c r="J59" s="10"/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389.23</v>
      </c>
      <c r="C60" s="27"/>
      <c r="F60" s="88">
        <f>F25</f>
        <v>101.92</v>
      </c>
      <c r="G60" s="88">
        <f>G25</f>
        <v>0</v>
      </c>
      <c r="H60" s="37">
        <f>B60-F60-G60</f>
        <v>287.31</v>
      </c>
      <c r="I60" s="115" t="s">
        <v>85</v>
      </c>
      <c r="K60" s="32"/>
      <c r="O60" s="1"/>
      <c r="R60" s="33"/>
    </row>
    <row r="61" spans="1:23" ht="18.75" thickBot="1" x14ac:dyDescent="0.3">
      <c r="A61" s="34" t="s">
        <v>60</v>
      </c>
      <c r="B61" s="116">
        <f>B53+B59+B60+B55+B58+B57</f>
        <v>5325.29</v>
      </c>
      <c r="C61" s="117"/>
      <c r="D61" s="7"/>
      <c r="E61" s="1"/>
      <c r="F61" s="71">
        <f>F51+F55</f>
        <v>282.89</v>
      </c>
      <c r="G61" s="71">
        <f>G51+G55</f>
        <v>1018.73</v>
      </c>
      <c r="H61" s="118">
        <f>B61-G61</f>
        <v>4306.5599999999995</v>
      </c>
      <c r="I61" s="115">
        <v>1</v>
      </c>
      <c r="J61" s="119">
        <v>1831</v>
      </c>
      <c r="K61" s="120">
        <v>935</v>
      </c>
      <c r="M61" s="5" t="s">
        <v>42</v>
      </c>
      <c r="O61" s="121"/>
      <c r="P61" s="5">
        <v>1</v>
      </c>
      <c r="Q61" s="5">
        <v>1831</v>
      </c>
      <c r="R61" s="3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/>
      <c r="M62" s="5" t="s">
        <v>86</v>
      </c>
      <c r="O62" s="1"/>
      <c r="P62" s="5">
        <v>1</v>
      </c>
      <c r="Q62" s="5">
        <v>6551</v>
      </c>
      <c r="R62" s="3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5">
        <v>1</v>
      </c>
      <c r="Q63" s="5">
        <v>6551</v>
      </c>
      <c r="R63" s="3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>
        <f>34.62*0.6</f>
        <v>20.771999999999998</v>
      </c>
      <c r="M64" s="5" t="s">
        <v>89</v>
      </c>
      <c r="O64" s="1"/>
      <c r="P64" s="5">
        <v>1</v>
      </c>
      <c r="Q64" s="5">
        <v>6630</v>
      </c>
      <c r="R64" s="3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/>
      <c r="M65" s="5" t="s">
        <v>90</v>
      </c>
      <c r="O65" s="1"/>
      <c r="P65" s="5">
        <v>1</v>
      </c>
      <c r="Q65" s="5">
        <v>6630</v>
      </c>
      <c r="R65" s="3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v>1853.64</v>
      </c>
      <c r="M66" s="5" t="s">
        <v>91</v>
      </c>
      <c r="O66" s="1"/>
      <c r="P66" s="5">
        <v>1</v>
      </c>
      <c r="Q66" s="5">
        <v>6565</v>
      </c>
      <c r="R66" s="3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5">
        <v>1</v>
      </c>
      <c r="Q67" s="5">
        <v>6560</v>
      </c>
      <c r="R67" s="33"/>
      <c r="S67" s="32"/>
    </row>
    <row r="68" spans="1:20" x14ac:dyDescent="0.25">
      <c r="F68" s="6"/>
      <c r="I68" s="85"/>
      <c r="K68" s="120"/>
      <c r="O68" s="1"/>
      <c r="R68" s="33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33"/>
    </row>
    <row r="70" spans="1:20" x14ac:dyDescent="0.25">
      <c r="A70" s="25" t="s">
        <v>94</v>
      </c>
      <c r="B70" s="26">
        <f>454.95+1.54</f>
        <v>456.49</v>
      </c>
      <c r="C70" s="106"/>
      <c r="D70" s="28">
        <v>6300</v>
      </c>
      <c r="E70" s="29"/>
      <c r="F70" s="81">
        <f>B70*F69</f>
        <v>45.649000000000001</v>
      </c>
      <c r="G70" s="107">
        <f>B70*G69</f>
        <v>136.947</v>
      </c>
      <c r="H70" s="31">
        <f>B70*H69-0</f>
        <v>273.89400000000001</v>
      </c>
      <c r="I70" s="85"/>
      <c r="K70" s="120"/>
      <c r="O70" s="1"/>
      <c r="R70" s="33"/>
      <c r="T70" s="32"/>
    </row>
    <row r="71" spans="1:20" ht="21" thickBot="1" x14ac:dyDescent="0.35">
      <c r="A71" s="34" t="s">
        <v>60</v>
      </c>
      <c r="B71" s="116">
        <f>SUM(B70)</f>
        <v>456.49</v>
      </c>
      <c r="C71" s="117"/>
      <c r="D71" s="7"/>
      <c r="E71" s="1"/>
      <c r="F71" s="71">
        <f>F70</f>
        <v>45.649000000000001</v>
      </c>
      <c r="G71" s="71">
        <f>G70</f>
        <v>136.947</v>
      </c>
      <c r="H71" s="118">
        <f>H70</f>
        <v>273.89400000000001</v>
      </c>
      <c r="I71" s="85"/>
      <c r="J71" s="85"/>
      <c r="K71" s="120"/>
      <c r="M71" s="125"/>
      <c r="O71" s="1"/>
      <c r="R71" s="33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33"/>
    </row>
    <row r="73" spans="1:20" ht="18.75" thickBot="1" x14ac:dyDescent="0.3">
      <c r="F73" s="6"/>
      <c r="I73" s="85"/>
      <c r="K73" s="127"/>
      <c r="O73" s="1"/>
      <c r="R73" s="33"/>
    </row>
    <row r="74" spans="1:20" ht="18.75" thickBot="1" x14ac:dyDescent="0.3">
      <c r="A74" s="1" t="s">
        <v>96</v>
      </c>
      <c r="B74" s="128">
        <f>ROUND((B71+B66+B61+B48+B32),2)</f>
        <v>53898.46</v>
      </c>
      <c r="F74" s="6"/>
      <c r="I74" s="85" t="s">
        <v>97</v>
      </c>
      <c r="K74" s="129">
        <f>SUM(K61:K73)</f>
        <v>2809.4120000000003</v>
      </c>
      <c r="O74" s="1"/>
      <c r="R74" s="33"/>
    </row>
    <row r="75" spans="1:20" ht="18.75" thickBot="1" x14ac:dyDescent="0.3">
      <c r="F75" s="6"/>
      <c r="I75" s="85">
        <v>2</v>
      </c>
      <c r="J75" s="119" t="s">
        <v>98</v>
      </c>
      <c r="K75" s="120"/>
      <c r="M75" s="5" t="s">
        <v>86</v>
      </c>
      <c r="O75" s="1"/>
      <c r="P75" s="5">
        <v>2</v>
      </c>
      <c r="Q75" s="119">
        <v>6551</v>
      </c>
      <c r="R75" s="33"/>
      <c r="S75" s="32"/>
    </row>
    <row r="76" spans="1:20" x14ac:dyDescent="0.25">
      <c r="A76" s="129" t="s">
        <v>99</v>
      </c>
      <c r="B76" s="26">
        <v>33664.29</v>
      </c>
      <c r="C76" s="130"/>
      <c r="D76" s="131" t="s">
        <v>100</v>
      </c>
      <c r="E76" s="6"/>
      <c r="F76" s="6"/>
      <c r="G76" s="132">
        <v>33664.29</v>
      </c>
      <c r="H76" s="6"/>
      <c r="I76" s="85">
        <v>2</v>
      </c>
      <c r="J76" s="119">
        <v>1831</v>
      </c>
      <c r="K76" s="120">
        <v>85</v>
      </c>
      <c r="M76" s="5" t="s">
        <v>42</v>
      </c>
      <c r="O76" s="1"/>
      <c r="P76" s="5">
        <v>2</v>
      </c>
      <c r="Q76" s="119">
        <v>6551</v>
      </c>
      <c r="R76" s="3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>
        <f>34.62*0.3</f>
        <v>10.385999999999999</v>
      </c>
      <c r="M77" s="5" t="s">
        <v>89</v>
      </c>
      <c r="O77" s="1"/>
      <c r="P77" s="5">
        <v>2</v>
      </c>
      <c r="Q77" s="5">
        <v>6630</v>
      </c>
      <c r="R77" s="3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5">
        <v>2</v>
      </c>
      <c r="Q78" s="5">
        <v>6630</v>
      </c>
      <c r="R78" s="33"/>
      <c r="S78" s="32"/>
    </row>
    <row r="79" spans="1:20" ht="18.75" thickBot="1" x14ac:dyDescent="0.3">
      <c r="A79" s="134" t="s">
        <v>104</v>
      </c>
      <c r="B79" s="135">
        <f>ROUND(SUM(B76:B78),2)</f>
        <v>33664.29</v>
      </c>
      <c r="C79" s="130"/>
      <c r="D79" s="131"/>
      <c r="E79" s="6"/>
      <c r="F79" s="6"/>
      <c r="G79" s="129">
        <f>SUM(G76:G78)</f>
        <v>33664.29</v>
      </c>
      <c r="H79" s="6" t="s">
        <v>105</v>
      </c>
      <c r="I79" s="85">
        <v>2</v>
      </c>
      <c r="J79" s="5">
        <v>6551</v>
      </c>
      <c r="K79" s="120"/>
      <c r="M79" s="5" t="s">
        <v>91</v>
      </c>
      <c r="O79" s="1"/>
      <c r="P79" s="5">
        <v>2</v>
      </c>
      <c r="Q79" s="5">
        <v>6565</v>
      </c>
      <c r="R79" s="33"/>
      <c r="S79" s="32"/>
    </row>
    <row r="80" spans="1:20" ht="18.75" thickBot="1" x14ac:dyDescent="0.3">
      <c r="A80" s="1" t="s">
        <v>106</v>
      </c>
      <c r="B80" s="26">
        <v>53441.97</v>
      </c>
      <c r="H80" s="128" t="str">
        <f>IF(B79-G79=0,"ok","NO")</f>
        <v>ok</v>
      </c>
      <c r="I80" s="85">
        <v>2</v>
      </c>
      <c r="J80" s="5">
        <v>6040</v>
      </c>
      <c r="K80" s="120">
        <v>969.75</v>
      </c>
      <c r="M80" s="5" t="s">
        <v>131</v>
      </c>
      <c r="O80" s="1"/>
      <c r="P80" s="5">
        <v>2</v>
      </c>
      <c r="Q80" s="119" t="s">
        <v>107</v>
      </c>
      <c r="R80" s="33"/>
      <c r="S80" s="32"/>
    </row>
    <row r="81" spans="1:19" ht="18.75" thickBot="1" x14ac:dyDescent="0.3">
      <c r="A81" s="1" t="s">
        <v>94</v>
      </c>
      <c r="B81" s="3">
        <f>B66+B71</f>
        <v>456.49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33"/>
      <c r="S81" s="32"/>
    </row>
    <row r="82" spans="1:19" ht="18.75" thickBot="1" x14ac:dyDescent="0.3">
      <c r="B82" s="3">
        <f>+B80+B81</f>
        <v>53898.46</v>
      </c>
      <c r="C82" s="128" t="str">
        <f>IF(B74=B82,"ok","NO")</f>
        <v>ok</v>
      </c>
      <c r="F82" s="136"/>
      <c r="I82" s="85"/>
      <c r="J82" s="119"/>
      <c r="K82" s="127"/>
      <c r="O82" s="1"/>
      <c r="R82" s="33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</row>
    <row r="84" spans="1:19" x14ac:dyDescent="0.25">
      <c r="G84" s="32"/>
      <c r="I84" s="85"/>
      <c r="K84" s="129">
        <f>SUM(K75:K83)</f>
        <v>1076.6759999999999</v>
      </c>
      <c r="O84" s="1"/>
      <c r="P84" s="5">
        <v>3</v>
      </c>
      <c r="Q84" s="5">
        <v>6551</v>
      </c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5"/>
      <c r="S85" s="32"/>
    </row>
    <row r="86" spans="1:19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5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>
        <f>34.62*0.1</f>
        <v>3.4619999999999997</v>
      </c>
      <c r="L88" s="5"/>
      <c r="M88" s="5" t="s">
        <v>112</v>
      </c>
      <c r="N88" s="5"/>
      <c r="O88" s="1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</row>
    <row r="90" spans="1:19" x14ac:dyDescent="0.25">
      <c r="A90" s="5"/>
      <c r="B90" s="5"/>
      <c r="C90" s="5"/>
      <c r="D90" s="5"/>
      <c r="I90" s="85"/>
      <c r="K90" s="129">
        <f>SUM(K86:K89)</f>
        <v>3.4619999999999997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3889.55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38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8953-78D3-4336-B74C-02DEE049E0D1}">
  <sheetPr>
    <tabColor rgb="FF00B0F0"/>
    <pageSetUpPr fitToPage="1"/>
  </sheetPr>
  <dimension ref="A2:Y100"/>
  <sheetViews>
    <sheetView zoomScale="70" zoomScaleNormal="70" zoomScalePageLayoutView="70" workbookViewId="0">
      <selection activeCell="O38" sqref="O38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1.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43510</v>
      </c>
      <c r="K2" s="9"/>
      <c r="M2" s="5" t="s">
        <v>1</v>
      </c>
    </row>
    <row r="3" spans="1:24" ht="18.75" thickBot="1" x14ac:dyDescent="0.3">
      <c r="A3" s="10" t="s">
        <v>2</v>
      </c>
      <c r="B3" s="8">
        <v>43524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B6" s="74"/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>
        <v>48</v>
      </c>
      <c r="C7" s="27"/>
      <c r="D7" s="28"/>
      <c r="E7" s="29"/>
      <c r="F7" s="30"/>
      <c r="G7" s="146"/>
      <c r="H7" s="37">
        <f t="shared" ref="H7:H9" si="0">B7-F7-G7</f>
        <v>48</v>
      </c>
      <c r="I7" s="12">
        <v>1</v>
      </c>
      <c r="J7" s="13">
        <v>6510</v>
      </c>
      <c r="K7" s="32">
        <f>+H7</f>
        <v>48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>
        <v>3481.97</v>
      </c>
      <c r="C8" s="27"/>
      <c r="F8" s="127"/>
      <c r="G8" s="36"/>
      <c r="H8" s="37">
        <f t="shared" si="0"/>
        <v>3481.97</v>
      </c>
      <c r="I8" s="12">
        <v>1</v>
      </c>
      <c r="J8" s="13">
        <v>6505</v>
      </c>
      <c r="K8" s="32">
        <f>+H8</f>
        <v>3481.97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/>
      <c r="C9" s="27"/>
      <c r="D9" s="4">
        <v>6500</v>
      </c>
      <c r="F9" s="127"/>
      <c r="G9" s="36"/>
      <c r="H9" s="37">
        <f t="shared" si="0"/>
        <v>0</v>
      </c>
      <c r="I9" s="12">
        <v>1</v>
      </c>
      <c r="J9" s="13">
        <v>6500</v>
      </c>
      <c r="K9" s="32">
        <f>+H9</f>
        <v>0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27"/>
      <c r="F10" s="148"/>
      <c r="G10" s="148"/>
      <c r="H10" s="37">
        <f t="shared" ref="H10:H32" si="1">B10-F10-G10</f>
        <v>0</v>
      </c>
      <c r="I10" s="12">
        <v>1</v>
      </c>
      <c r="J10" s="13">
        <v>6580</v>
      </c>
      <c r="K10" s="32">
        <f>ROUND(H43+H44+H45+H46-H16+H47,2)</f>
        <v>271.74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27"/>
      <c r="F11" s="150"/>
      <c r="G11" s="150"/>
      <c r="H11" s="37">
        <f t="shared" si="1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218.85</v>
      </c>
      <c r="C12" s="27"/>
      <c r="F12" s="41"/>
      <c r="G12" s="41"/>
      <c r="H12" s="37">
        <f t="shared" si="1"/>
        <v>218.85</v>
      </c>
      <c r="I12" s="12">
        <v>1</v>
      </c>
      <c r="J12" s="13">
        <v>6570</v>
      </c>
      <c r="K12" s="32">
        <f>-H24+H52+H59</f>
        <v>16.23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51.19</v>
      </c>
      <c r="C13" s="27"/>
      <c r="F13" s="41"/>
      <c r="G13" s="41"/>
      <c r="H13" s="37">
        <f t="shared" si="1"/>
        <v>51.19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>
        <v>10</v>
      </c>
      <c r="C14" s="27"/>
      <c r="F14" s="41"/>
      <c r="G14" s="41"/>
      <c r="H14" s="37">
        <f t="shared" si="1"/>
        <v>10</v>
      </c>
      <c r="I14" s="12">
        <v>1</v>
      </c>
      <c r="J14" s="13">
        <v>6571</v>
      </c>
      <c r="K14" s="32">
        <f>+H56</f>
        <v>106.38</v>
      </c>
      <c r="L14" s="145"/>
      <c r="M14" s="5" t="s">
        <v>61</v>
      </c>
      <c r="P14" s="1"/>
    </row>
    <row r="15" spans="1:24" x14ac:dyDescent="0.25">
      <c r="A15" s="34" t="s">
        <v>28</v>
      </c>
      <c r="B15" s="151">
        <v>89.82</v>
      </c>
      <c r="C15" s="27"/>
      <c r="F15" s="41"/>
      <c r="G15" s="41"/>
      <c r="H15" s="37">
        <f t="shared" si="1"/>
        <v>89.82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/>
      <c r="C16" s="27"/>
      <c r="F16" s="152"/>
      <c r="G16" s="44"/>
      <c r="H16" s="37">
        <f t="shared" si="1"/>
        <v>0</v>
      </c>
      <c r="I16" s="52">
        <v>1</v>
      </c>
      <c r="J16" s="10">
        <v>2120</v>
      </c>
      <c r="K16" s="21">
        <f>-H17</f>
        <v>-5.4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2">SUM(R7:R15)</f>
        <v>779.02</v>
      </c>
      <c r="S16" s="154">
        <f t="shared" si="2"/>
        <v>944.95</v>
      </c>
      <c r="T16" s="154">
        <f t="shared" si="2"/>
        <v>348.52</v>
      </c>
      <c r="U16" s="154">
        <f t="shared" si="2"/>
        <v>1512.56</v>
      </c>
      <c r="V16" s="154">
        <f t="shared" si="2"/>
        <v>670.31999999999994</v>
      </c>
      <c r="W16" s="154">
        <f t="shared" si="2"/>
        <v>4475.92</v>
      </c>
      <c r="X16" s="154">
        <f t="shared" si="2"/>
        <v>1797.86</v>
      </c>
    </row>
    <row r="17" spans="1:25" ht="19.5" thickTop="1" thickBot="1" x14ac:dyDescent="0.3">
      <c r="A17" s="34" t="s">
        <v>33</v>
      </c>
      <c r="B17" s="151">
        <v>5.4</v>
      </c>
      <c r="C17" s="27"/>
      <c r="F17" s="152"/>
      <c r="G17" s="44"/>
      <c r="H17" s="37">
        <f t="shared" si="1"/>
        <v>5.4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27"/>
      <c r="D18" s="54"/>
      <c r="E18" s="5"/>
      <c r="F18" s="41"/>
      <c r="G18" s="55"/>
      <c r="H18" s="37">
        <f t="shared" si="1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27"/>
      <c r="D19" s="54"/>
      <c r="E19" s="5"/>
      <c r="F19" s="41"/>
      <c r="G19" s="44"/>
      <c r="H19" s="37">
        <f t="shared" si="1"/>
        <v>0</v>
      </c>
      <c r="I19" s="12">
        <v>1</v>
      </c>
      <c r="J19" s="13">
        <v>6300</v>
      </c>
      <c r="K19" s="82">
        <f>ROUND(H72,2)</f>
        <v>0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27"/>
      <c r="D20" s="4"/>
      <c r="E20" s="5"/>
      <c r="F20" s="41"/>
      <c r="G20" s="55"/>
      <c r="H20" s="37">
        <f t="shared" si="1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27"/>
      <c r="D21" s="4"/>
      <c r="E21" s="5"/>
      <c r="F21" s="41"/>
      <c r="G21" s="44"/>
      <c r="H21" s="37">
        <f t="shared" si="1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27"/>
      <c r="D22" s="54"/>
      <c r="E22" s="5"/>
      <c r="F22" s="41"/>
      <c r="G22" s="44"/>
      <c r="H22" s="37">
        <f t="shared" si="1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27"/>
      <c r="D23" s="4"/>
      <c r="E23" s="5"/>
      <c r="F23" s="41"/>
      <c r="G23" s="55"/>
      <c r="H23" s="37">
        <f t="shared" si="1"/>
        <v>0</v>
      </c>
      <c r="I23" s="12"/>
      <c r="J23" s="13"/>
      <c r="K23" s="59">
        <f>SUM(K7:K22)</f>
        <v>3918.92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/>
      <c r="C24" s="27"/>
      <c r="D24" s="4"/>
      <c r="E24" s="5"/>
      <c r="F24" s="44"/>
      <c r="G24" s="44"/>
      <c r="H24" s="37">
        <f t="shared" si="1"/>
        <v>0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27"/>
      <c r="D25" s="4"/>
      <c r="E25" s="5"/>
      <c r="F25" s="41"/>
      <c r="G25" s="44"/>
      <c r="H25" s="37">
        <f t="shared" si="1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27"/>
      <c r="D26" s="4"/>
      <c r="E26" s="5"/>
      <c r="F26" s="44"/>
      <c r="G26" s="44"/>
      <c r="H26" s="37">
        <f t="shared" si="1"/>
        <v>0</v>
      </c>
      <c r="I26" s="12">
        <v>2</v>
      </c>
      <c r="J26" s="13">
        <v>6510</v>
      </c>
      <c r="K26" s="32">
        <f>+G7</f>
        <v>0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27"/>
      <c r="D27" s="54"/>
      <c r="E27" s="5"/>
      <c r="F27" s="41"/>
      <c r="G27" s="55"/>
      <c r="H27" s="37">
        <f t="shared" si="1"/>
        <v>0</v>
      </c>
      <c r="I27" s="12">
        <v>2</v>
      </c>
      <c r="J27" s="13">
        <v>6505</v>
      </c>
      <c r="K27" s="32">
        <f>+G8</f>
        <v>0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63"/>
      <c r="D28" s="4"/>
      <c r="E28" s="5"/>
      <c r="F28" s="41"/>
      <c r="G28" s="55"/>
      <c r="H28" s="37">
        <f t="shared" si="1"/>
        <v>0</v>
      </c>
      <c r="I28" s="12">
        <v>2</v>
      </c>
      <c r="J28" s="13">
        <v>6500</v>
      </c>
      <c r="K28" s="32">
        <f>+G9</f>
        <v>0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27"/>
      <c r="D29" s="54"/>
      <c r="E29" s="5"/>
      <c r="F29" s="41"/>
      <c r="G29" s="44"/>
      <c r="H29" s="37">
        <f t="shared" si="1"/>
        <v>0</v>
      </c>
      <c r="I29" s="12">
        <v>2</v>
      </c>
      <c r="J29" s="13">
        <v>6580</v>
      </c>
      <c r="K29" s="32">
        <f>-G16+G43+G44+G45+G46+G47</f>
        <v>0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65"/>
      <c r="D30" s="54"/>
      <c r="E30" s="5"/>
      <c r="F30" s="66"/>
      <c r="G30" s="67"/>
      <c r="H30" s="37">
        <f t="shared" si="1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27"/>
      <c r="D31" s="4"/>
      <c r="E31" s="5"/>
      <c r="F31" s="68"/>
      <c r="G31" s="67"/>
      <c r="H31" s="37">
        <f t="shared" si="1"/>
        <v>0</v>
      </c>
      <c r="I31" s="12">
        <v>2</v>
      </c>
      <c r="J31" s="13">
        <v>6570</v>
      </c>
      <c r="K31" s="32">
        <f>-G24+G52+G59</f>
        <v>0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27">
        <f t="shared" ref="C32" si="3">B32-F32-G32-H32</f>
        <v>0</v>
      </c>
      <c r="D32" s="4">
        <v>6500</v>
      </c>
      <c r="E32" s="5"/>
      <c r="F32" s="69"/>
      <c r="G32" s="70"/>
      <c r="H32" s="37">
        <f t="shared" si="1"/>
        <v>0</v>
      </c>
      <c r="I32" s="12">
        <v>2</v>
      </c>
      <c r="J32" s="13">
        <v>6571</v>
      </c>
      <c r="K32" s="32">
        <f>G56</f>
        <v>0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3154.7099999999996</v>
      </c>
      <c r="C33" s="72">
        <f>B33-F33-G33-H33</f>
        <v>-5.4000000000000909</v>
      </c>
      <c r="D33" s="71"/>
      <c r="E33" s="71"/>
      <c r="F33" s="71">
        <f>F7+F8+F10+F11-F12-F13-F14-F15-F16-F30-F21-F27-F26-F29-F18-F22-F19-F24-F23-F25+F31+F32</f>
        <v>0</v>
      </c>
      <c r="G33" s="71">
        <f>G7+G8+G10+G11-G12-G13-G14-G15-G16-G30-G21-G27-G26-G29-G18-G22-G19-G24-G23-G25+G31+G32</f>
        <v>0</v>
      </c>
      <c r="H33" s="71">
        <f>H7+H8+H10+H11-H12-H13-H14-H15-H16-H30-H21-H27-H26-H29-H18-H22-H19-H24-H23-H25+H31+H32-H20-H28</f>
        <v>3160.1099999999997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0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218.85</v>
      </c>
      <c r="C38" s="27">
        <f>B38-F38-G38-H38</f>
        <v>0</v>
      </c>
      <c r="D38" s="28">
        <v>2100</v>
      </c>
      <c r="E38" s="29"/>
      <c r="F38" s="81">
        <v>0</v>
      </c>
      <c r="G38" s="80">
        <v>0</v>
      </c>
      <c r="H38" s="31">
        <f>B38-G38-F38</f>
        <v>218.85</v>
      </c>
      <c r="I38" s="12">
        <v>2</v>
      </c>
      <c r="J38" s="13">
        <v>6300</v>
      </c>
      <c r="K38" s="84">
        <f>ROUND(G72,2)</f>
        <v>0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51.19</v>
      </c>
      <c r="C39" s="27">
        <f>B39-F39-G39-H39</f>
        <v>0</v>
      </c>
      <c r="D39" s="4">
        <v>2100</v>
      </c>
      <c r="E39" s="5"/>
      <c r="F39" s="6">
        <v>0</v>
      </c>
      <c r="G39" s="83">
        <v>0</v>
      </c>
      <c r="H39" s="37">
        <f>B39-G39-F39</f>
        <v>51.19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10</v>
      </c>
      <c r="C40" s="27">
        <f>B40-F40-G40-H40</f>
        <v>0</v>
      </c>
      <c r="D40" s="4">
        <v>2110</v>
      </c>
      <c r="E40" s="5"/>
      <c r="F40" s="6">
        <v>0</v>
      </c>
      <c r="G40" s="83">
        <v>0</v>
      </c>
      <c r="H40" s="37">
        <f>B40-G40-F40</f>
        <v>10</v>
      </c>
      <c r="I40" s="85"/>
      <c r="J40" s="5"/>
      <c r="K40" s="86">
        <f>SUM(K26:K39)</f>
        <v>0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89.82</v>
      </c>
      <c r="C41" s="27">
        <f>B41-F41-G41-H41</f>
        <v>0</v>
      </c>
      <c r="D41" s="4">
        <v>2120</v>
      </c>
      <c r="E41" s="5"/>
      <c r="F41" s="6">
        <v>0</v>
      </c>
      <c r="G41" s="83">
        <v>0</v>
      </c>
      <c r="H41" s="37">
        <f>B41-G41-F41</f>
        <v>89.82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218.86</v>
      </c>
      <c r="C43" s="27">
        <f>B43-F43-G43-H43</f>
        <v>0</v>
      </c>
      <c r="D43" s="4">
        <v>6580</v>
      </c>
      <c r="E43" s="5"/>
      <c r="F43" s="90"/>
      <c r="G43" s="90"/>
      <c r="H43" s="37">
        <f>B43-F43-G43</f>
        <v>218.86</v>
      </c>
      <c r="I43" s="12">
        <v>3</v>
      </c>
      <c r="J43" s="13">
        <v>6510</v>
      </c>
      <c r="K43" s="92">
        <f>+F7</f>
        <v>0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51.19</v>
      </c>
      <c r="C44" s="27">
        <f>B44-F44-G44-H44</f>
        <v>0</v>
      </c>
      <c r="D44" s="4">
        <v>6580</v>
      </c>
      <c r="E44" s="5"/>
      <c r="F44" s="90"/>
      <c r="G44" s="90"/>
      <c r="H44" s="37">
        <f>B44-F44-G44</f>
        <v>51.19</v>
      </c>
      <c r="I44" s="12">
        <v>3</v>
      </c>
      <c r="J44" s="13">
        <v>6505</v>
      </c>
      <c r="K44" s="92">
        <f>+F8</f>
        <v>0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>
        <v>0.28999999999999998</v>
      </c>
      <c r="C45" s="27">
        <f>B45-F45-G45-H45</f>
        <v>0</v>
      </c>
      <c r="D45" s="4">
        <v>6580</v>
      </c>
      <c r="E45" s="5"/>
      <c r="F45" s="90"/>
      <c r="G45" s="91"/>
      <c r="H45" s="37">
        <f>B45-G45-F45</f>
        <v>0.28999999999999998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>
        <v>1.36</v>
      </c>
      <c r="C46" s="27">
        <f>B46-F46-G46-H46</f>
        <v>0</v>
      </c>
      <c r="D46" s="4">
        <v>6580</v>
      </c>
      <c r="E46" s="5"/>
      <c r="F46" s="93"/>
      <c r="G46" s="94"/>
      <c r="H46" s="37">
        <f>B46-G46-F46</f>
        <v>1.36</v>
      </c>
      <c r="I46" s="12">
        <v>3</v>
      </c>
      <c r="J46" s="13">
        <v>6580</v>
      </c>
      <c r="K46" s="92">
        <f>-F16+F43+F44+F45+F46+F47</f>
        <v>0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>
        <v>0.04</v>
      </c>
      <c r="C47" s="27">
        <f>B47-F47-G47-H47</f>
        <v>0</v>
      </c>
      <c r="D47" s="4"/>
      <c r="E47" s="5"/>
      <c r="F47" s="95"/>
      <c r="G47" s="96"/>
      <c r="H47" s="37">
        <f>B47-G47-F47</f>
        <v>0.04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271.74000000000007</v>
      </c>
      <c r="C48" s="27">
        <f>B49-F48-G48-H48</f>
        <v>0</v>
      </c>
      <c r="D48" s="7"/>
      <c r="E48" s="1"/>
      <c r="F48" s="97">
        <f>SUM(F38:F47)</f>
        <v>0</v>
      </c>
      <c r="G48" s="97">
        <f>SUM(G38:G47)</f>
        <v>0</v>
      </c>
      <c r="H48" s="71">
        <f>SUM(H38:H47)</f>
        <v>641.6</v>
      </c>
      <c r="I48" s="12">
        <v>3</v>
      </c>
      <c r="J48" s="13">
        <v>6300</v>
      </c>
      <c r="K48" s="92">
        <f>ROUND(F72,2)</f>
        <v>0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5" s="33" customFormat="1" ht="19.5" thickTop="1" thickBot="1" x14ac:dyDescent="0.3">
      <c r="A49" s="34" t="s">
        <v>60</v>
      </c>
      <c r="B49" s="98">
        <f>SUM(B38:B47)</f>
        <v>641.6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5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0</v>
      </c>
      <c r="L50" s="1"/>
      <c r="M50" s="1" t="s">
        <v>34</v>
      </c>
      <c r="N50" s="1"/>
      <c r="O50" s="1"/>
      <c r="P50" s="1"/>
    </row>
    <row r="51" spans="1:25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5" x14ac:dyDescent="0.25">
      <c r="A52" s="25" t="s">
        <v>78</v>
      </c>
      <c r="B52" s="80">
        <f>B24</f>
        <v>0</v>
      </c>
      <c r="C52" s="106"/>
      <c r="D52" s="28">
        <v>6570</v>
      </c>
      <c r="E52" s="29"/>
      <c r="F52" s="81">
        <f>F24</f>
        <v>0</v>
      </c>
      <c r="G52" s="107">
        <f>G24</f>
        <v>0</v>
      </c>
      <c r="H52" s="31">
        <f>B52-G52-F52</f>
        <v>0</v>
      </c>
      <c r="I52" s="12">
        <v>3</v>
      </c>
      <c r="J52" s="13">
        <v>6570</v>
      </c>
      <c r="K52" s="92">
        <f>F59</f>
        <v>0</v>
      </c>
      <c r="M52" s="5" t="s">
        <v>25</v>
      </c>
      <c r="O52" s="1"/>
      <c r="P52" s="1"/>
    </row>
    <row r="53" spans="1:25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0</v>
      </c>
      <c r="M53" s="5" t="s">
        <v>27</v>
      </c>
      <c r="O53" s="1"/>
      <c r="P53" s="1"/>
    </row>
    <row r="54" spans="1:25" x14ac:dyDescent="0.25">
      <c r="A54" s="34" t="s">
        <v>60</v>
      </c>
      <c r="B54" s="108">
        <f>SUM(B52:B53)</f>
        <v>0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5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5" ht="18.75" thickBot="1" x14ac:dyDescent="0.3">
      <c r="A56" s="34" t="s">
        <v>80</v>
      </c>
      <c r="B56" s="110">
        <v>106.38</v>
      </c>
      <c r="C56" s="111"/>
      <c r="D56" s="4">
        <v>6571</v>
      </c>
      <c r="F56" s="90"/>
      <c r="G56" s="91"/>
      <c r="H56" s="37">
        <f>B56-F56-G56</f>
        <v>106.38</v>
      </c>
      <c r="I56" s="12"/>
      <c r="J56" s="13"/>
      <c r="K56" s="86">
        <f>SUM(K43:K55)</f>
        <v>0</v>
      </c>
      <c r="L56" s="1"/>
      <c r="N56" s="1">
        <v>2040</v>
      </c>
      <c r="O56" s="1"/>
      <c r="P56" s="1"/>
      <c r="Q56" s="33">
        <f>+O58+K58</f>
        <v>0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5" ht="18.75" thickTop="1" x14ac:dyDescent="0.25">
      <c r="A57" s="34" t="s">
        <v>61</v>
      </c>
      <c r="B57" s="112">
        <v>71.08</v>
      </c>
      <c r="C57" s="111"/>
      <c r="D57" s="4">
        <v>6571</v>
      </c>
      <c r="F57" s="93"/>
      <c r="G57" s="157"/>
      <c r="H57" s="37">
        <f>B57-F57-G57</f>
        <v>71.08</v>
      </c>
      <c r="I57" s="12"/>
      <c r="J57" s="13"/>
      <c r="K57" s="32"/>
      <c r="M57" s="1" t="s">
        <v>83</v>
      </c>
      <c r="O57" s="1"/>
      <c r="P57" s="1"/>
    </row>
    <row r="58" spans="1:25" ht="18.75" thickBot="1" x14ac:dyDescent="0.3">
      <c r="A58" s="34" t="s">
        <v>82</v>
      </c>
      <c r="B58" s="83">
        <f>+B20</f>
        <v>0</v>
      </c>
      <c r="C58" s="111"/>
      <c r="F58" s="6"/>
      <c r="G58" s="88"/>
      <c r="H58" s="37">
        <f>B58-F58-G58</f>
        <v>0</v>
      </c>
      <c r="I58" s="52">
        <v>1</v>
      </c>
      <c r="J58" s="10">
        <v>1012</v>
      </c>
      <c r="K58" s="113">
        <f>-(K23+K40+K56+K76+K83+K88)-K59-K60</f>
        <v>-3918.92</v>
      </c>
      <c r="M58" s="1"/>
      <c r="O58" s="114">
        <f>+'[2]1012-CNB Checking'!$F$67</f>
        <v>3918.92</v>
      </c>
      <c r="P58" s="114"/>
      <c r="Y58" s="32">
        <f>+K58+O58</f>
        <v>0</v>
      </c>
    </row>
    <row r="59" spans="1:25" ht="18.75" thickTop="1" x14ac:dyDescent="0.25">
      <c r="A59" s="34" t="s">
        <v>25</v>
      </c>
      <c r="B59" s="110">
        <v>16.23</v>
      </c>
      <c r="C59" s="111"/>
      <c r="D59" s="4">
        <v>6570</v>
      </c>
      <c r="F59" s="160">
        <f>+((F7+F8)/(B8+B7))*B59</f>
        <v>0</v>
      </c>
      <c r="G59" s="88">
        <f>+((G7+G8)/(B7+B8))*B59</f>
        <v>0</v>
      </c>
      <c r="H59" s="37">
        <f>+B59-F59-G59</f>
        <v>16.23</v>
      </c>
      <c r="I59" s="85">
        <v>1</v>
      </c>
      <c r="K59" s="21"/>
      <c r="O59" s="21"/>
      <c r="P59" s="1"/>
    </row>
    <row r="60" spans="1:25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85">
        <v>1</v>
      </c>
      <c r="K60" s="21"/>
      <c r="O60" s="21"/>
      <c r="P60" s="1"/>
    </row>
    <row r="61" spans="1:25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>B61-F61-G61</f>
        <v>0</v>
      </c>
      <c r="I61" s="85"/>
      <c r="K61" s="21"/>
      <c r="O61" s="21"/>
      <c r="P61" s="1"/>
    </row>
    <row r="62" spans="1:25" ht="18.75" thickBot="1" x14ac:dyDescent="0.3">
      <c r="A62" s="34" t="s">
        <v>60</v>
      </c>
      <c r="B62" s="116">
        <f>B54+B60+B61+B56+B59+B58</f>
        <v>122.61</v>
      </c>
      <c r="C62" s="117"/>
      <c r="D62" s="7"/>
      <c r="E62" s="1"/>
      <c r="F62" s="71">
        <f>F52+F56</f>
        <v>0</v>
      </c>
      <c r="G62" s="71">
        <f>G52+G56</f>
        <v>0</v>
      </c>
      <c r="H62" s="118">
        <f>B62-G62</f>
        <v>122.61</v>
      </c>
      <c r="I62" s="115" t="s">
        <v>85</v>
      </c>
      <c r="K62" s="32"/>
      <c r="O62" s="1"/>
      <c r="P62" s="1"/>
    </row>
    <row r="63" spans="1:25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5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v>0.1</v>
      </c>
      <c r="G65" s="123">
        <v>0.3</v>
      </c>
      <c r="H65" s="123">
        <v>0.6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0.1</v>
      </c>
      <c r="G70" s="123">
        <f>G65</f>
        <v>0.3</v>
      </c>
      <c r="H70" s="123">
        <f>H65</f>
        <v>0.6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/>
      <c r="C71" s="106"/>
      <c r="D71" s="28">
        <v>6300</v>
      </c>
      <c r="E71" s="29"/>
      <c r="F71" s="81">
        <f>B71*F70</f>
        <v>0</v>
      </c>
      <c r="G71" s="107">
        <f>B71*G70</f>
        <v>0</v>
      </c>
      <c r="H71" s="31">
        <f>B71*H70-0</f>
        <v>0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0</v>
      </c>
      <c r="C72" s="117"/>
      <c r="D72" s="7"/>
      <c r="E72" s="1"/>
      <c r="F72" s="71">
        <f>F71</f>
        <v>0</v>
      </c>
      <c r="G72" s="71">
        <f>G71</f>
        <v>0</v>
      </c>
      <c r="H72" s="118">
        <f>H71</f>
        <v>0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3918.92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3047.37</v>
      </c>
      <c r="C77" s="130"/>
      <c r="D77" s="131" t="s">
        <v>100</v>
      </c>
      <c r="E77" s="6"/>
      <c r="F77" s="6"/>
      <c r="G77" s="132"/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3047.37</v>
      </c>
      <c r="C80" s="130"/>
      <c r="D80" s="131"/>
      <c r="E80" s="6"/>
      <c r="F80" s="6"/>
      <c r="G80" s="129">
        <f>SUM(G77:G79)</f>
        <v>0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3918.92</v>
      </c>
      <c r="C81" s="3"/>
      <c r="D81" s="4"/>
      <c r="E81" s="5"/>
      <c r="F81" s="5"/>
      <c r="G81" s="5"/>
      <c r="H81" s="128" t="str">
        <f>IF(B80-G80=0,"ok","NO")</f>
        <v>NO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0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3918.92</v>
      </c>
      <c r="C83" s="128" t="str">
        <f>IF(B75=B83,"ok","NO")</f>
        <v>ok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0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B276-BC1A-4E69-A7C5-FEBAD56A0948}">
  <sheetPr>
    <tabColor rgb="FF00B0F0"/>
    <pageSetUpPr fitToPage="1"/>
  </sheetPr>
  <dimension ref="A2:Y100"/>
  <sheetViews>
    <sheetView zoomScale="70" zoomScaleNormal="70" zoomScalePageLayoutView="70" workbookViewId="0">
      <selection activeCell="I7" sqref="I7:K40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1.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32" width="10.5" style="5"/>
    <col min="33" max="33" width="19.75" style="5" bestFit="1" customWidth="1"/>
    <col min="34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43531</v>
      </c>
      <c r="K2" s="9"/>
      <c r="M2" s="5" t="s">
        <v>1</v>
      </c>
    </row>
    <row r="3" spans="1:24" ht="18.75" thickBot="1" x14ac:dyDescent="0.3">
      <c r="A3" s="10" t="s">
        <v>2</v>
      </c>
      <c r="B3" s="8">
        <v>43524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B6" s="74"/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>
        <f>1999.98-363.63</f>
        <v>1636.35</v>
      </c>
      <c r="C7" s="27"/>
      <c r="D7" s="28"/>
      <c r="E7" s="29"/>
      <c r="F7" s="30"/>
      <c r="G7" s="146">
        <v>666.66</v>
      </c>
      <c r="H7" s="37">
        <f t="shared" ref="H7:H32" si="0">B7-F7-G7</f>
        <v>969.68999999999994</v>
      </c>
      <c r="I7" s="12">
        <v>1</v>
      </c>
      <c r="J7" s="13">
        <v>6510</v>
      </c>
      <c r="K7" s="32">
        <f>+H7</f>
        <v>969.68999999999994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>
        <v>5835.14</v>
      </c>
      <c r="C8" s="27"/>
      <c r="F8" s="127"/>
      <c r="G8" s="36">
        <v>1871.93</v>
      </c>
      <c r="H8" s="37">
        <f t="shared" si="0"/>
        <v>3963.21</v>
      </c>
      <c r="I8" s="12">
        <v>1</v>
      </c>
      <c r="J8" s="13">
        <v>6505</v>
      </c>
      <c r="K8" s="32">
        <f>+H8</f>
        <v>3963.21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/>
      <c r="C9" s="27"/>
      <c r="D9" s="4">
        <v>6500</v>
      </c>
      <c r="F9" s="127"/>
      <c r="G9" s="36"/>
      <c r="H9" s="37">
        <f t="shared" si="0"/>
        <v>0</v>
      </c>
      <c r="I9" s="12">
        <v>1</v>
      </c>
      <c r="J9" s="13">
        <v>6500</v>
      </c>
      <c r="K9" s="32">
        <f>+H9</f>
        <v>0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27"/>
      <c r="F10" s="148"/>
      <c r="G10" s="148"/>
      <c r="H10" s="37">
        <f t="shared" si="0"/>
        <v>0</v>
      </c>
      <c r="I10" s="12">
        <v>1</v>
      </c>
      <c r="J10" s="13">
        <v>6580</v>
      </c>
      <c r="K10" s="32">
        <f>ROUND(H43+H44+H45+H46-H16+H47,2)</f>
        <v>367.42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27"/>
      <c r="F11" s="150"/>
      <c r="G11" s="150"/>
      <c r="H11" s="37">
        <f t="shared" si="0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463.23</v>
      </c>
      <c r="C12" s="27"/>
      <c r="F12" s="41"/>
      <c r="G12" s="41"/>
      <c r="H12" s="37">
        <f t="shared" si="0"/>
        <v>463.23</v>
      </c>
      <c r="I12" s="12">
        <v>1</v>
      </c>
      <c r="J12" s="13">
        <v>6570</v>
      </c>
      <c r="K12" s="32">
        <f>-H24+H52+H59</f>
        <v>91.35599097368798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108.35</v>
      </c>
      <c r="C13" s="27"/>
      <c r="F13" s="41"/>
      <c r="G13" s="41"/>
      <c r="H13" s="37">
        <f t="shared" si="0"/>
        <v>108.35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>
        <v>24.57</v>
      </c>
      <c r="C14" s="27"/>
      <c r="F14" s="41"/>
      <c r="G14" s="41"/>
      <c r="H14" s="37">
        <f t="shared" si="0"/>
        <v>24.57</v>
      </c>
      <c r="I14" s="12">
        <v>1</v>
      </c>
      <c r="J14" s="13">
        <v>6571</v>
      </c>
      <c r="K14" s="32">
        <f>+H56</f>
        <v>173.5</v>
      </c>
      <c r="L14" s="145"/>
      <c r="M14" s="5" t="s">
        <v>61</v>
      </c>
      <c r="P14" s="1"/>
    </row>
    <row r="15" spans="1:24" x14ac:dyDescent="0.25">
      <c r="A15" s="34" t="s">
        <v>28</v>
      </c>
      <c r="B15" s="151">
        <v>74.06</v>
      </c>
      <c r="C15" s="27"/>
      <c r="F15" s="41"/>
      <c r="G15" s="41"/>
      <c r="H15" s="37">
        <f t="shared" si="0"/>
        <v>74.06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/>
      <c r="C16" s="27"/>
      <c r="F16" s="152"/>
      <c r="G16" s="44"/>
      <c r="H16" s="37">
        <f t="shared" si="0"/>
        <v>0</v>
      </c>
      <c r="I16" s="52">
        <v>1</v>
      </c>
      <c r="J16" s="10">
        <v>2120</v>
      </c>
      <c r="K16" s="21">
        <f>-H17</f>
        <v>-7.55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1">SUM(R7:R15)</f>
        <v>779.02</v>
      </c>
      <c r="S16" s="154">
        <f t="shared" si="1"/>
        <v>944.95</v>
      </c>
      <c r="T16" s="154">
        <f t="shared" si="1"/>
        <v>348.52</v>
      </c>
      <c r="U16" s="154">
        <f t="shared" si="1"/>
        <v>1512.56</v>
      </c>
      <c r="V16" s="154">
        <f t="shared" si="1"/>
        <v>670.31999999999994</v>
      </c>
      <c r="W16" s="154">
        <f t="shared" si="1"/>
        <v>4475.92</v>
      </c>
      <c r="X16" s="154">
        <f t="shared" si="1"/>
        <v>1797.86</v>
      </c>
    </row>
    <row r="17" spans="1:25" ht="19.5" thickTop="1" thickBot="1" x14ac:dyDescent="0.3">
      <c r="A17" s="34" t="s">
        <v>33</v>
      </c>
      <c r="B17" s="151">
        <v>11.43</v>
      </c>
      <c r="C17" s="27"/>
      <c r="F17" s="152"/>
      <c r="G17" s="44">
        <v>3.88</v>
      </c>
      <c r="H17" s="37">
        <f t="shared" si="0"/>
        <v>7.55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27"/>
      <c r="D18" s="54"/>
      <c r="E18" s="5"/>
      <c r="F18" s="41"/>
      <c r="G18" s="55"/>
      <c r="H18" s="37">
        <f t="shared" si="0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27"/>
      <c r="D19" s="54"/>
      <c r="E19" s="5"/>
      <c r="F19" s="41"/>
      <c r="G19" s="44"/>
      <c r="H19" s="37">
        <f t="shared" si="0"/>
        <v>0</v>
      </c>
      <c r="I19" s="12">
        <v>1</v>
      </c>
      <c r="J19" s="13">
        <v>6300</v>
      </c>
      <c r="K19" s="82">
        <f>ROUND(H72,2)</f>
        <v>0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27"/>
      <c r="D20" s="4"/>
      <c r="E20" s="5"/>
      <c r="F20" s="41"/>
      <c r="G20" s="55"/>
      <c r="H20" s="37">
        <f t="shared" si="0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27"/>
      <c r="D21" s="4"/>
      <c r="E21" s="5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27"/>
      <c r="D22" s="54"/>
      <c r="E22" s="5"/>
      <c r="F22" s="41"/>
      <c r="G22" s="44"/>
      <c r="H22" s="37">
        <f t="shared" si="0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27"/>
      <c r="D23" s="4"/>
      <c r="E23" s="5"/>
      <c r="F23" s="41"/>
      <c r="G23" s="55"/>
      <c r="H23" s="37">
        <f t="shared" si="0"/>
        <v>0</v>
      </c>
      <c r="I23" s="12"/>
      <c r="J23" s="13"/>
      <c r="K23" s="59">
        <f>SUM(K7:K22)</f>
        <v>5557.6259909736873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>
        <v>234.25</v>
      </c>
      <c r="C24" s="27"/>
      <c r="D24" s="4"/>
      <c r="E24" s="5"/>
      <c r="F24" s="44"/>
      <c r="G24" s="44">
        <v>86.16</v>
      </c>
      <c r="H24" s="37">
        <f t="shared" si="0"/>
        <v>148.09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27"/>
      <c r="D25" s="4"/>
      <c r="E25" s="5"/>
      <c r="F25" s="41"/>
      <c r="G25" s="44"/>
      <c r="H25" s="37">
        <f t="shared" si="0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27"/>
      <c r="D26" s="4"/>
      <c r="E26" s="5"/>
      <c r="F26" s="44"/>
      <c r="G26" s="44"/>
      <c r="H26" s="37">
        <f t="shared" si="0"/>
        <v>0</v>
      </c>
      <c r="I26" s="12">
        <v>2</v>
      </c>
      <c r="J26" s="13">
        <v>6510</v>
      </c>
      <c r="K26" s="32">
        <f>+G7</f>
        <v>666.66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27"/>
      <c r="D27" s="54"/>
      <c r="E27" s="5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1871.93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63"/>
      <c r="D28" s="4"/>
      <c r="E28" s="5"/>
      <c r="F28" s="41"/>
      <c r="G28" s="55"/>
      <c r="H28" s="37">
        <f t="shared" si="0"/>
        <v>0</v>
      </c>
      <c r="I28" s="12">
        <v>2</v>
      </c>
      <c r="J28" s="13">
        <v>6500</v>
      </c>
      <c r="K28" s="32">
        <f>+G9</f>
        <v>0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27"/>
      <c r="D29" s="54"/>
      <c r="E29" s="5"/>
      <c r="F29" s="41"/>
      <c r="G29" s="44"/>
      <c r="H29" s="37">
        <f t="shared" si="0"/>
        <v>0</v>
      </c>
      <c r="I29" s="12">
        <v>2</v>
      </c>
      <c r="J29" s="13">
        <v>6580</v>
      </c>
      <c r="K29" s="32">
        <f>-G16+G43+G44+G45+G46+G47</f>
        <v>256.49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65"/>
      <c r="D30" s="54"/>
      <c r="E30" s="5"/>
      <c r="F30" s="66"/>
      <c r="G30" s="67"/>
      <c r="H30" s="37">
        <f t="shared" si="0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27"/>
      <c r="D31" s="4"/>
      <c r="E31" s="5"/>
      <c r="F31" s="68"/>
      <c r="G31" s="67"/>
      <c r="H31" s="37">
        <f t="shared" si="0"/>
        <v>0</v>
      </c>
      <c r="I31" s="12">
        <v>2</v>
      </c>
      <c r="J31" s="13">
        <v>6570</v>
      </c>
      <c r="K31" s="32">
        <f>-G24+G52+G59</f>
        <v>47.014009026312024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27">
        <f t="shared" ref="C32" si="2">B32-F32-G32-H32</f>
        <v>0</v>
      </c>
      <c r="D32" s="4">
        <v>6500</v>
      </c>
      <c r="E32" s="5"/>
      <c r="F32" s="69"/>
      <c r="G32" s="70"/>
      <c r="H32" s="37">
        <f t="shared" si="0"/>
        <v>0</v>
      </c>
      <c r="I32" s="12">
        <v>2</v>
      </c>
      <c r="J32" s="13">
        <v>6571</v>
      </c>
      <c r="K32" s="32">
        <f>G56</f>
        <v>72.819999999999993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6555.5999999999995</v>
      </c>
      <c r="C33" s="72">
        <f>B33-F33-G33-H33</f>
        <v>-11.430000000000291</v>
      </c>
      <c r="D33" s="71"/>
      <c r="E33" s="71"/>
      <c r="F33" s="71">
        <f>F7+F8+F10+F11-F12-F13-F14-F15-F16-F30-F21-F27-F26-F29-F18-F22-F19-F24-F23-F25+F31+F32</f>
        <v>0</v>
      </c>
      <c r="G33" s="71">
        <f>G7+G8+G10+G11-G12-G13-G14-G15-G16-G30-G21-G27-G26-G29-G18-G22-G19-G24-G23-G25+G31+G32</f>
        <v>2452.4300000000003</v>
      </c>
      <c r="H33" s="71">
        <f>H7+H8+H10+H11-H12-H13-H14-H15-H16-H30-H21-H27-H26-H29-H18-H22-H19-H24-H23-H25+H31+H32-H20-H28</f>
        <v>4114.5999999999995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-3.88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463.23</v>
      </c>
      <c r="C38" s="27">
        <f>B38-F38-G38-H38</f>
        <v>0</v>
      </c>
      <c r="D38" s="28">
        <v>2100</v>
      </c>
      <c r="E38" s="29"/>
      <c r="F38" s="81">
        <v>0</v>
      </c>
      <c r="G38" s="80">
        <v>0</v>
      </c>
      <c r="H38" s="31">
        <f>B38-G38-F38</f>
        <v>463.23</v>
      </c>
      <c r="I38" s="12">
        <v>2</v>
      </c>
      <c r="J38" s="13">
        <v>6300</v>
      </c>
      <c r="K38" s="84">
        <f>ROUND(G72,2)</f>
        <v>0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108.35</v>
      </c>
      <c r="C39" s="27">
        <f>B39-F39-G39-H39</f>
        <v>0</v>
      </c>
      <c r="D39" s="4">
        <v>2100</v>
      </c>
      <c r="E39" s="5"/>
      <c r="F39" s="6">
        <v>0</v>
      </c>
      <c r="G39" s="83">
        <v>0</v>
      </c>
      <c r="H39" s="37">
        <f>B39-G39-F39</f>
        <v>108.35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24.57</v>
      </c>
      <c r="C40" s="27">
        <f>B40-F40-G40-H40</f>
        <v>0</v>
      </c>
      <c r="D40" s="4">
        <v>2110</v>
      </c>
      <c r="E40" s="5"/>
      <c r="F40" s="6">
        <v>0</v>
      </c>
      <c r="G40" s="83">
        <v>0</v>
      </c>
      <c r="H40" s="37">
        <f>B40-G40-F40</f>
        <v>24.57</v>
      </c>
      <c r="I40" s="85"/>
      <c r="J40" s="5"/>
      <c r="K40" s="86">
        <f>SUM(K26:K39)</f>
        <v>2911.0340090263121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74.06</v>
      </c>
      <c r="C41" s="27">
        <f>B41-F41-G41-H41</f>
        <v>0</v>
      </c>
      <c r="D41" s="4">
        <v>2120</v>
      </c>
      <c r="E41" s="5"/>
      <c r="F41" s="6">
        <v>0</v>
      </c>
      <c r="G41" s="83">
        <v>0</v>
      </c>
      <c r="H41" s="37">
        <f>B41-G41-F41</f>
        <v>74.06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463.25</v>
      </c>
      <c r="C43" s="27">
        <f>B43-F43-G43-H43</f>
        <v>0</v>
      </c>
      <c r="D43" s="4">
        <v>6580</v>
      </c>
      <c r="E43" s="5"/>
      <c r="F43" s="90"/>
      <c r="G43" s="90">
        <v>157.38999999999999</v>
      </c>
      <c r="H43" s="37">
        <f>B43-F43-G43</f>
        <v>305.86</v>
      </c>
      <c r="I43" s="12">
        <v>3</v>
      </c>
      <c r="J43" s="13">
        <v>6510</v>
      </c>
      <c r="K43" s="92">
        <f>+F7</f>
        <v>0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108.31</v>
      </c>
      <c r="C44" s="27">
        <f>B44-F44-G44-H44</f>
        <v>0</v>
      </c>
      <c r="D44" s="4">
        <v>6580</v>
      </c>
      <c r="E44" s="5"/>
      <c r="F44" s="90"/>
      <c r="G44" s="90">
        <v>36.81</v>
      </c>
      <c r="H44" s="37">
        <f>B44-F44-G44</f>
        <v>71.5</v>
      </c>
      <c r="I44" s="12">
        <v>3</v>
      </c>
      <c r="J44" s="13">
        <v>6505</v>
      </c>
      <c r="K44" s="92">
        <f>+F8</f>
        <v>0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>
        <v>4</v>
      </c>
      <c r="C45" s="27">
        <f>B45-F45-G45-H45</f>
        <v>0</v>
      </c>
      <c r="D45" s="4">
        <v>6580</v>
      </c>
      <c r="E45" s="5"/>
      <c r="F45" s="90"/>
      <c r="G45" s="91">
        <v>14.57</v>
      </c>
      <c r="H45" s="37">
        <f>B45-G45-F45</f>
        <v>-10.57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>
        <v>47.1</v>
      </c>
      <c r="C46" s="27">
        <f>B46-F46-G46-H46</f>
        <v>0</v>
      </c>
      <c r="D46" s="4">
        <v>6580</v>
      </c>
      <c r="E46" s="5"/>
      <c r="F46" s="93"/>
      <c r="G46" s="94">
        <v>47.72</v>
      </c>
      <c r="H46" s="37">
        <f>B46-G46-F46</f>
        <v>-0.61999999999999744</v>
      </c>
      <c r="I46" s="12">
        <v>3</v>
      </c>
      <c r="J46" s="13">
        <v>6580</v>
      </c>
      <c r="K46" s="92">
        <f>-F16+F43+F44+F45+F46+F47</f>
        <v>0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>
        <v>1.25</v>
      </c>
      <c r="C47" s="27">
        <f>B47-F47-G47-H47</f>
        <v>0</v>
      </c>
      <c r="D47" s="4"/>
      <c r="E47" s="5"/>
      <c r="F47" s="95"/>
      <c r="G47" s="96"/>
      <c r="H47" s="37">
        <f>B47-G47-F47</f>
        <v>1.25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623.91</v>
      </c>
      <c r="C48" s="27">
        <f>B49-F48-G48-H48</f>
        <v>0</v>
      </c>
      <c r="D48" s="7"/>
      <c r="E48" s="1"/>
      <c r="F48" s="97">
        <f>SUM(F38:F47)</f>
        <v>0</v>
      </c>
      <c r="G48" s="97">
        <f>SUM(G38:G47)</f>
        <v>256.49</v>
      </c>
      <c r="H48" s="71">
        <f>SUM(H38:H47)</f>
        <v>1037.6300000000003</v>
      </c>
      <c r="I48" s="12">
        <v>3</v>
      </c>
      <c r="J48" s="13">
        <v>6300</v>
      </c>
      <c r="K48" s="92">
        <f>ROUND(F72,2)</f>
        <v>0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5" s="33" customFormat="1" ht="19.5" thickTop="1" thickBot="1" x14ac:dyDescent="0.3">
      <c r="A49" s="34" t="s">
        <v>60</v>
      </c>
      <c r="B49" s="98">
        <f>SUM(B38:B47)</f>
        <v>1294.1199999999999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5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0</v>
      </c>
      <c r="L50" s="1"/>
      <c r="M50" s="1" t="s">
        <v>34</v>
      </c>
      <c r="N50" s="1"/>
      <c r="O50" s="1"/>
      <c r="P50" s="1"/>
    </row>
    <row r="51" spans="1:25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5" x14ac:dyDescent="0.25">
      <c r="A52" s="25" t="s">
        <v>78</v>
      </c>
      <c r="B52" s="80">
        <f>B24</f>
        <v>234.25</v>
      </c>
      <c r="C52" s="106"/>
      <c r="D52" s="28">
        <v>6570</v>
      </c>
      <c r="E52" s="29"/>
      <c r="F52" s="81">
        <f>F24</f>
        <v>0</v>
      </c>
      <c r="G52" s="107">
        <f>G24</f>
        <v>86.16</v>
      </c>
      <c r="H52" s="31">
        <f>B52-G52-F52</f>
        <v>148.09</v>
      </c>
      <c r="I52" s="12">
        <v>3</v>
      </c>
      <c r="J52" s="13">
        <v>6570</v>
      </c>
      <c r="K52" s="92">
        <f>F59</f>
        <v>0</v>
      </c>
      <c r="M52" s="5" t="s">
        <v>25</v>
      </c>
      <c r="O52" s="1"/>
      <c r="P52" s="1"/>
    </row>
    <row r="53" spans="1:25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0</v>
      </c>
      <c r="M53" s="5" t="s">
        <v>27</v>
      </c>
      <c r="O53" s="1"/>
      <c r="P53" s="1"/>
    </row>
    <row r="54" spans="1:25" x14ac:dyDescent="0.25">
      <c r="A54" s="34" t="s">
        <v>60</v>
      </c>
      <c r="B54" s="108">
        <f>SUM(B52:B53)</f>
        <v>234.25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5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5" ht="18.75" thickBot="1" x14ac:dyDescent="0.3">
      <c r="A56" s="34" t="s">
        <v>80</v>
      </c>
      <c r="B56" s="110">
        <v>246.32</v>
      </c>
      <c r="C56" s="111"/>
      <c r="D56" s="4">
        <v>6571</v>
      </c>
      <c r="F56" s="90"/>
      <c r="G56" s="91">
        <v>72.819999999999993</v>
      </c>
      <c r="H56" s="37">
        <f>B56-F56-G56</f>
        <v>173.5</v>
      </c>
      <c r="I56" s="12"/>
      <c r="J56" s="13"/>
      <c r="K56" s="86">
        <f>SUM(K43:K55)</f>
        <v>0</v>
      </c>
      <c r="L56" s="1"/>
      <c r="N56" s="1">
        <v>2040</v>
      </c>
      <c r="O56" s="1"/>
      <c r="P56" s="1"/>
      <c r="Q56" s="33">
        <f>+O58+K58</f>
        <v>0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5" ht="18.75" thickTop="1" x14ac:dyDescent="0.25">
      <c r="A57" s="34" t="s">
        <v>61</v>
      </c>
      <c r="B57" s="112">
        <v>54.23</v>
      </c>
      <c r="C57" s="111"/>
      <c r="D57" s="4">
        <v>6571</v>
      </c>
      <c r="F57" s="93"/>
      <c r="G57" s="157"/>
      <c r="H57" s="37">
        <f>B57-F57-G57</f>
        <v>54.23</v>
      </c>
      <c r="I57" s="12"/>
      <c r="J57" s="13"/>
      <c r="K57" s="32"/>
      <c r="M57" s="1" t="s">
        <v>83</v>
      </c>
      <c r="O57" s="1"/>
      <c r="P57" s="1"/>
    </row>
    <row r="58" spans="1:25" ht="18.75" thickBot="1" x14ac:dyDescent="0.3">
      <c r="A58" s="34" t="s">
        <v>82</v>
      </c>
      <c r="B58" s="83">
        <f>+B20</f>
        <v>0</v>
      </c>
      <c r="C58" s="111"/>
      <c r="F58" s="6"/>
      <c r="G58" s="88"/>
      <c r="H58" s="37">
        <f>B58-F58-G58</f>
        <v>0</v>
      </c>
      <c r="I58" s="52">
        <v>1</v>
      </c>
      <c r="J58" s="10">
        <v>1012</v>
      </c>
      <c r="K58" s="113">
        <f>-(K23+K40+K56+K76+K83+K88)-K59-K60</f>
        <v>-8468.66</v>
      </c>
      <c r="M58" s="1"/>
      <c r="O58" s="114">
        <f>+'[3]1012-CNB Checking'!$F$69</f>
        <v>8468.66</v>
      </c>
      <c r="P58" s="114"/>
      <c r="Y58" s="32">
        <f>+K58+O58</f>
        <v>0</v>
      </c>
    </row>
    <row r="59" spans="1:25" ht="18.75" thickTop="1" x14ac:dyDescent="0.25">
      <c r="A59" s="34" t="s">
        <v>25</v>
      </c>
      <c r="B59" s="110">
        <v>138.37</v>
      </c>
      <c r="C59" s="111"/>
      <c r="D59" s="4">
        <v>6570</v>
      </c>
      <c r="F59" s="160">
        <f>+((F7+F8)/(B8+B7))*B59</f>
        <v>0</v>
      </c>
      <c r="G59" s="88">
        <f>+((G7+G8)/(B7+B8))*B59</f>
        <v>47.014009026312024</v>
      </c>
      <c r="H59" s="37">
        <f>+B59-F59-G59</f>
        <v>91.35599097368798</v>
      </c>
      <c r="I59" s="85">
        <v>1</v>
      </c>
      <c r="K59" s="21"/>
      <c r="O59" s="21"/>
      <c r="P59" s="1"/>
    </row>
    <row r="60" spans="1:25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85">
        <v>1</v>
      </c>
      <c r="K60" s="21"/>
      <c r="O60" s="21"/>
      <c r="P60" s="1"/>
    </row>
    <row r="61" spans="1:25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>B61-F61-G61</f>
        <v>0</v>
      </c>
      <c r="I61" s="85"/>
      <c r="K61" s="21"/>
      <c r="O61" s="21"/>
      <c r="P61" s="1"/>
    </row>
    <row r="62" spans="1:25" ht="18.75" thickBot="1" x14ac:dyDescent="0.3">
      <c r="A62" s="34" t="s">
        <v>60</v>
      </c>
      <c r="B62" s="116">
        <f>B54+B60+B61+B56+B59+B58</f>
        <v>618.94000000000005</v>
      </c>
      <c r="C62" s="117"/>
      <c r="D62" s="7"/>
      <c r="E62" s="1"/>
      <c r="F62" s="71">
        <f>F52+F56</f>
        <v>0</v>
      </c>
      <c r="G62" s="71">
        <f>G52+G56</f>
        <v>158.97999999999999</v>
      </c>
      <c r="H62" s="118">
        <f>B62-G62</f>
        <v>459.96000000000004</v>
      </c>
      <c r="I62" s="115" t="s">
        <v>85</v>
      </c>
      <c r="K62" s="32"/>
      <c r="O62" s="1"/>
      <c r="P62" s="1"/>
    </row>
    <row r="63" spans="1:25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5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v>0.1</v>
      </c>
      <c r="G65" s="123">
        <v>0.3</v>
      </c>
      <c r="H65" s="123">
        <v>0.6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0.1</v>
      </c>
      <c r="G70" s="123">
        <f>G65</f>
        <v>0.3</v>
      </c>
      <c r="H70" s="123">
        <f>H65</f>
        <v>0.6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/>
      <c r="C71" s="106"/>
      <c r="D71" s="28">
        <v>6300</v>
      </c>
      <c r="E71" s="29"/>
      <c r="F71" s="81">
        <f>B71*F70</f>
        <v>0</v>
      </c>
      <c r="G71" s="107">
        <f>B71*G70</f>
        <v>0</v>
      </c>
      <c r="H71" s="31">
        <f>B71*H70-0</f>
        <v>0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0</v>
      </c>
      <c r="C72" s="117"/>
      <c r="D72" s="7"/>
      <c r="E72" s="1"/>
      <c r="F72" s="71">
        <f>F71</f>
        <v>0</v>
      </c>
      <c r="G72" s="71">
        <f>G71</f>
        <v>0</v>
      </c>
      <c r="H72" s="118">
        <f>H71</f>
        <v>0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8468.66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6501.32</v>
      </c>
      <c r="C77" s="130"/>
      <c r="D77" s="131" t="s">
        <v>100</v>
      </c>
      <c r="E77" s="6"/>
      <c r="F77" s="6"/>
      <c r="G77" s="132">
        <v>6501.32</v>
      </c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6501.32</v>
      </c>
      <c r="C80" s="130"/>
      <c r="D80" s="131"/>
      <c r="E80" s="6"/>
      <c r="F80" s="6"/>
      <c r="G80" s="129">
        <f>SUM(G77:G79)</f>
        <v>6501.32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8468.66</v>
      </c>
      <c r="C81" s="3"/>
      <c r="D81" s="4"/>
      <c r="E81" s="5"/>
      <c r="F81" s="5"/>
      <c r="G81" s="5"/>
      <c r="H81" s="128" t="str">
        <f>IF(B80-G80=0,"ok","NO")</f>
        <v>ok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0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8468.66</v>
      </c>
      <c r="C83" s="128" t="str">
        <f>IF(B75=B83,"ok","NO")</f>
        <v>ok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0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8FB5-C8DE-44DB-BE45-D8646325813D}">
  <sheetPr>
    <tabColor rgb="FF00B050"/>
    <pageSetUpPr fitToPage="1"/>
  </sheetPr>
  <dimension ref="A2:Z99"/>
  <sheetViews>
    <sheetView zoomScale="70" zoomScaleNormal="70" zoomScalePageLayoutView="70" workbookViewId="0">
      <selection activeCell="E67" sqref="E67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4.2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43531</v>
      </c>
      <c r="K2" s="9"/>
      <c r="M2" s="5" t="s">
        <v>1</v>
      </c>
    </row>
    <row r="3" spans="1:19" x14ac:dyDescent="0.25">
      <c r="A3" s="10" t="s">
        <v>2</v>
      </c>
      <c r="B3" s="8">
        <v>43525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0.9</v>
      </c>
    </row>
    <row r="7" spans="1:19" x14ac:dyDescent="0.25">
      <c r="A7" s="25" t="s">
        <v>14</v>
      </c>
      <c r="B7" s="26">
        <v>44369.7</v>
      </c>
      <c r="C7" s="27">
        <f>B7-F7-G7-H7</f>
        <v>0</v>
      </c>
      <c r="D7" s="28">
        <v>6500</v>
      </c>
      <c r="E7" s="29"/>
      <c r="F7" s="30">
        <v>3922.67</v>
      </c>
      <c r="G7" s="30">
        <v>17702.37</v>
      </c>
      <c r="H7" s="31">
        <f t="shared" ref="H7:H31" si="0">B7-F7-G7</f>
        <v>22744.66</v>
      </c>
      <c r="I7" s="12">
        <v>1</v>
      </c>
      <c r="J7" s="13">
        <v>6500</v>
      </c>
      <c r="K7" s="32">
        <f>H7</f>
        <v>22744.66</v>
      </c>
      <c r="M7" s="5" t="s">
        <v>15</v>
      </c>
      <c r="P7" s="5">
        <v>1</v>
      </c>
      <c r="Q7" s="13">
        <v>6500</v>
      </c>
      <c r="R7" s="33">
        <f>+K7*$R$6</f>
        <v>20470.194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3591.14</v>
      </c>
      <c r="C10" s="27">
        <f t="shared" ref="C10:C30" si="1">B10-F10-G10-H10</f>
        <v>0</v>
      </c>
      <c r="D10" s="4">
        <v>6040</v>
      </c>
      <c r="F10" s="35">
        <f>+K90</f>
        <v>2.3079999999999998</v>
      </c>
      <c r="G10" s="36">
        <f>+K84</f>
        <v>601.37400000000002</v>
      </c>
      <c r="H10" s="37">
        <f t="shared" si="0"/>
        <v>2987.4579999999996</v>
      </c>
      <c r="I10" s="12">
        <v>1</v>
      </c>
      <c r="J10" s="13">
        <v>6580</v>
      </c>
      <c r="K10" s="32">
        <f>ROUND($H$42+$H$43+$H$44+$H$45-$H$15+$H$46,2)</f>
        <v>2453.7600000000002</v>
      </c>
      <c r="M10" s="39" t="s">
        <v>21</v>
      </c>
      <c r="P10" s="5">
        <v>1</v>
      </c>
      <c r="Q10" s="13">
        <v>6580</v>
      </c>
      <c r="R10" s="33">
        <f>+K10*$R$6</f>
        <v>2208.3840000000005</v>
      </c>
      <c r="S10" s="32"/>
    </row>
    <row r="11" spans="1:19" x14ac:dyDescent="0.25">
      <c r="A11" s="34" t="s">
        <v>22</v>
      </c>
      <c r="B11" s="40">
        <v>2612.7800000000002</v>
      </c>
      <c r="C11" s="27">
        <f t="shared" si="1"/>
        <v>0</v>
      </c>
      <c r="D11" s="4">
        <v>2100</v>
      </c>
      <c r="F11" s="41"/>
      <c r="G11" s="41"/>
      <c r="H11" s="37">
        <f t="shared" si="0"/>
        <v>2612.7800000000002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611.05999999999995</v>
      </c>
      <c r="C12" s="27">
        <f t="shared" si="1"/>
        <v>0</v>
      </c>
      <c r="D12" s="4">
        <v>2100</v>
      </c>
      <c r="F12" s="41"/>
      <c r="G12" s="41"/>
      <c r="H12" s="37">
        <f t="shared" si="0"/>
        <v>611.05999999999995</v>
      </c>
      <c r="I12" s="12">
        <v>1</v>
      </c>
      <c r="J12" s="13">
        <v>6570</v>
      </c>
      <c r="K12" s="32">
        <f>-H23+H51+H58</f>
        <v>357.31</v>
      </c>
      <c r="M12" s="5" t="s">
        <v>25</v>
      </c>
      <c r="P12" s="5">
        <v>1</v>
      </c>
      <c r="Q12" s="13">
        <v>6570</v>
      </c>
      <c r="R12" s="33">
        <f>+K12*R6</f>
        <v>321.57900000000001</v>
      </c>
      <c r="S12" s="32"/>
    </row>
    <row r="13" spans="1:19" x14ac:dyDescent="0.25">
      <c r="A13" s="34" t="s">
        <v>26</v>
      </c>
      <c r="B13" s="42">
        <v>3199.94</v>
      </c>
      <c r="C13" s="27">
        <f t="shared" si="1"/>
        <v>0</v>
      </c>
      <c r="D13" s="4">
        <v>2110</v>
      </c>
      <c r="F13" s="41"/>
      <c r="G13" s="41"/>
      <c r="H13" s="37">
        <f t="shared" si="0"/>
        <v>3199.94</v>
      </c>
      <c r="I13" s="12">
        <v>1</v>
      </c>
      <c r="J13" s="13">
        <v>6571</v>
      </c>
      <c r="K13" s="32">
        <f>ROUND(H55,2)</f>
        <v>981.77</v>
      </c>
      <c r="M13" s="43" t="s">
        <v>27</v>
      </c>
      <c r="P13" s="5">
        <v>1</v>
      </c>
      <c r="Q13" s="13">
        <v>6571</v>
      </c>
      <c r="R13" s="33">
        <f>+K13*$R$6</f>
        <v>883.59299999999996</v>
      </c>
      <c r="S13" s="32"/>
    </row>
    <row r="14" spans="1:19" x14ac:dyDescent="0.25">
      <c r="A14" s="34" t="s">
        <v>28</v>
      </c>
      <c r="B14" s="42">
        <v>1794.94</v>
      </c>
      <c r="C14" s="27">
        <f t="shared" si="1"/>
        <v>0</v>
      </c>
      <c r="D14" s="4">
        <v>2120</v>
      </c>
      <c r="F14" s="41"/>
      <c r="G14" s="41"/>
      <c r="H14" s="37">
        <f t="shared" si="0"/>
        <v>1794.94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24</v>
      </c>
      <c r="C15" s="27">
        <f t="shared" si="1"/>
        <v>0</v>
      </c>
      <c r="D15" s="4">
        <v>6580</v>
      </c>
      <c r="F15" s="44">
        <v>1.2</v>
      </c>
      <c r="G15" s="44">
        <v>7.2</v>
      </c>
      <c r="H15" s="37">
        <f t="shared" si="0"/>
        <v>15.600000000000001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/>
    </row>
    <row r="16" spans="1:19" ht="18.75" thickBot="1" x14ac:dyDescent="0.3">
      <c r="A16" s="34" t="s">
        <v>33</v>
      </c>
      <c r="B16" s="51">
        <v>67.87</v>
      </c>
      <c r="C16" s="27">
        <f t="shared" si="1"/>
        <v>0</v>
      </c>
      <c r="D16" s="7">
        <v>2120</v>
      </c>
      <c r="F16" s="44">
        <v>3.77</v>
      </c>
      <c r="G16" s="44">
        <v>20.38</v>
      </c>
      <c r="H16" s="37">
        <f t="shared" si="0"/>
        <v>43.720000000000013</v>
      </c>
      <c r="I16" s="52">
        <v>1</v>
      </c>
      <c r="J16" s="10">
        <v>2120</v>
      </c>
      <c r="K16" s="21">
        <f>-H16</f>
        <v>-43.720000000000013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-39.348000000000013</v>
      </c>
      <c r="S16" s="32"/>
    </row>
    <row r="17" spans="1:26" x14ac:dyDescent="0.25">
      <c r="A17" s="34" t="s">
        <v>35</v>
      </c>
      <c r="B17" s="53">
        <v>24</v>
      </c>
      <c r="C17" s="27">
        <f t="shared" si="1"/>
        <v>0</v>
      </c>
      <c r="D17" s="54">
        <v>1830</v>
      </c>
      <c r="F17" s="41"/>
      <c r="G17" s="55"/>
      <c r="H17" s="37">
        <f t="shared" si="0"/>
        <v>24</v>
      </c>
      <c r="I17" s="12">
        <v>1</v>
      </c>
      <c r="J17" s="13">
        <v>1830</v>
      </c>
      <c r="K17" s="56">
        <f>ROUND(-H20-H27-H17-H18-H21-H26-H28,2)</f>
        <v>-1187.07</v>
      </c>
      <c r="M17" s="5" t="s">
        <v>36</v>
      </c>
      <c r="P17" s="5">
        <v>1</v>
      </c>
      <c r="Q17" s="13">
        <v>1830</v>
      </c>
      <c r="R17" s="33">
        <f>+K17*$R$6</f>
        <v>-1068.3630000000001</v>
      </c>
      <c r="S17" s="32"/>
    </row>
    <row r="18" spans="1:26" x14ac:dyDescent="0.25">
      <c r="A18" s="34" t="s">
        <v>37</v>
      </c>
      <c r="B18" s="57">
        <v>87.96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28.079999999999991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57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366.23</v>
      </c>
      <c r="M19" s="5" t="s">
        <v>40</v>
      </c>
      <c r="P19" s="5">
        <v>1</v>
      </c>
      <c r="Q19" s="13">
        <v>6300</v>
      </c>
      <c r="R19" s="33">
        <f>+K19*$R$6</f>
        <v>329.60700000000003</v>
      </c>
      <c r="S19" s="32"/>
    </row>
    <row r="20" spans="1:26" x14ac:dyDescent="0.25">
      <c r="A20" s="34" t="s">
        <v>41</v>
      </c>
      <c r="B20" s="57">
        <v>1751.52</v>
      </c>
      <c r="C20" s="27">
        <f t="shared" si="1"/>
        <v>0</v>
      </c>
      <c r="D20" s="4">
        <v>1830</v>
      </c>
      <c r="F20" s="41"/>
      <c r="G20" s="44">
        <v>809.87</v>
      </c>
      <c r="H20" s="37">
        <f t="shared" si="0"/>
        <v>941.65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57">
        <v>194.16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68.16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57">
        <v>692.31</v>
      </c>
      <c r="C22" s="27">
        <f t="shared" si="1"/>
        <v>0</v>
      </c>
      <c r="F22" s="41"/>
      <c r="G22" s="55"/>
      <c r="H22" s="37">
        <f t="shared" si="0"/>
        <v>692.31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57">
        <v>1987.66</v>
      </c>
      <c r="C23" s="27">
        <f t="shared" si="1"/>
        <v>0</v>
      </c>
      <c r="D23" s="4">
        <v>6570</v>
      </c>
      <c r="F23" s="44"/>
      <c r="G23" s="44">
        <v>641.95000000000005</v>
      </c>
      <c r="H23" s="37">
        <f t="shared" si="0"/>
        <v>1345.71</v>
      </c>
      <c r="I23" s="12"/>
      <c r="J23" s="13"/>
      <c r="K23" s="59">
        <f>SUM(K7:K22)</f>
        <v>25672.94</v>
      </c>
      <c r="N23" s="1">
        <v>2040</v>
      </c>
      <c r="P23" s="5">
        <v>1</v>
      </c>
      <c r="Q23" s="13">
        <v>2040</v>
      </c>
      <c r="R23" s="60">
        <f>SUM(R7:R22)</f>
        <v>23105.646000000001</v>
      </c>
      <c r="S23" s="6"/>
    </row>
    <row r="24" spans="1:26" ht="18.75" thickTop="1" x14ac:dyDescent="0.25">
      <c r="A24" s="34" t="s">
        <v>48</v>
      </c>
      <c r="B24" s="57">
        <v>409.58</v>
      </c>
      <c r="C24" s="27">
        <f t="shared" si="1"/>
        <v>0</v>
      </c>
      <c r="F24" s="41"/>
      <c r="G24" s="44">
        <v>123.58</v>
      </c>
      <c r="H24" s="37">
        <f t="shared" si="0"/>
        <v>286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57">
        <v>389.23</v>
      </c>
      <c r="C25" s="27">
        <f t="shared" si="1"/>
        <v>0</v>
      </c>
      <c r="F25" s="44">
        <v>101.92</v>
      </c>
      <c r="G25" s="44"/>
      <c r="H25" s="37">
        <f t="shared" si="0"/>
        <v>287.31</v>
      </c>
      <c r="I25" s="61">
        <v>2</v>
      </c>
      <c r="J25" s="62"/>
      <c r="K25" s="32"/>
      <c r="Q25" s="62"/>
      <c r="R25" s="33"/>
    </row>
    <row r="26" spans="1:26" x14ac:dyDescent="0.25">
      <c r="A26" s="34" t="s">
        <v>50</v>
      </c>
      <c r="B26" s="57">
        <v>63.173999999999999</v>
      </c>
      <c r="C26" s="27">
        <f t="shared" si="1"/>
        <v>0</v>
      </c>
      <c r="D26" s="54">
        <v>1830</v>
      </c>
      <c r="F26" s="41"/>
      <c r="G26" s="55"/>
      <c r="H26" s="37">
        <f t="shared" si="0"/>
        <v>63.173999999999999</v>
      </c>
      <c r="I26" s="12">
        <v>2</v>
      </c>
      <c r="J26" s="13">
        <v>6500</v>
      </c>
      <c r="K26" s="32">
        <f>G7</f>
        <v>17702.37</v>
      </c>
      <c r="M26" s="5" t="s">
        <v>51</v>
      </c>
      <c r="O26" s="32"/>
      <c r="P26" s="5">
        <v>2</v>
      </c>
      <c r="Q26" s="13">
        <v>6500</v>
      </c>
      <c r="R26" s="33">
        <f>+K26*R6</f>
        <v>15932.133</v>
      </c>
      <c r="S26" s="32"/>
      <c r="X26" s="32"/>
    </row>
    <row r="27" spans="1:26" x14ac:dyDescent="0.25">
      <c r="A27" s="34" t="s">
        <v>52</v>
      </c>
      <c r="B27" s="57"/>
      <c r="C27" s="63">
        <f t="shared" si="1"/>
        <v>0</v>
      </c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64">
        <v>91.13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62.009999999999991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57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1084.76</v>
      </c>
      <c r="M29" s="39" t="s">
        <v>21</v>
      </c>
      <c r="P29" s="5">
        <v>2</v>
      </c>
      <c r="Q29" s="13">
        <v>6580</v>
      </c>
      <c r="R29" s="33">
        <f>+K29*R6</f>
        <v>976.28399999999999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178.65</v>
      </c>
      <c r="M31" s="5" t="s">
        <v>25</v>
      </c>
      <c r="P31" s="5">
        <v>2</v>
      </c>
      <c r="Q31" s="13">
        <v>6570</v>
      </c>
      <c r="R31" s="33">
        <f>+K31*$R$6</f>
        <v>160.785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</f>
        <v>33959.525999999991</v>
      </c>
      <c r="C32" s="72">
        <f>B32-F32-G32-H32</f>
        <v>0</v>
      </c>
      <c r="D32" s="71"/>
      <c r="E32" s="71"/>
      <c r="F32" s="71">
        <f t="shared" ref="F32:H32" si="2">F7+F8+F10-F11-F12-F13-F14-F15-F16-F19-F29-F20-F26-F25-F28-F17-F21-F18-F23-F22-F24+F30+F31</f>
        <v>3807.3380000000002</v>
      </c>
      <c r="G32" s="71">
        <f t="shared" si="2"/>
        <v>16496.513999999996</v>
      </c>
      <c r="H32" s="71">
        <f t="shared" si="2"/>
        <v>13655.674000000001</v>
      </c>
      <c r="I32" s="12">
        <v>2</v>
      </c>
      <c r="J32" s="13">
        <v>6571</v>
      </c>
      <c r="K32" s="32">
        <f>G55</f>
        <v>379.85</v>
      </c>
      <c r="M32" s="43" t="s">
        <v>27</v>
      </c>
      <c r="P32" s="5">
        <v>2</v>
      </c>
      <c r="Q32" s="13">
        <v>6571</v>
      </c>
      <c r="R32" s="33">
        <f>+K32*$R$6</f>
        <v>341.86500000000001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/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-20.38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-18.341999999999999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-1014.12</v>
      </c>
      <c r="M36" s="5" t="s">
        <v>36</v>
      </c>
      <c r="O36" s="1"/>
      <c r="P36" s="5">
        <v>2</v>
      </c>
      <c r="Q36" s="13">
        <v>1830</v>
      </c>
      <c r="R36" s="33">
        <f>+K36*$R$6</f>
        <v>-912.70799999999997</v>
      </c>
      <c r="S36" s="32"/>
    </row>
    <row r="37" spans="1:22" x14ac:dyDescent="0.25">
      <c r="A37" s="25" t="s">
        <v>66</v>
      </c>
      <c r="B37" s="80">
        <f>B11</f>
        <v>2612.7800000000002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2612.7800000000002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611.05999999999995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611.05999999999995</v>
      </c>
      <c r="I38" s="12">
        <v>2</v>
      </c>
      <c r="J38" s="13">
        <v>6300</v>
      </c>
      <c r="K38" s="84">
        <f>ROUND(G70,2)</f>
        <v>183.11</v>
      </c>
      <c r="M38" s="5" t="s">
        <v>40</v>
      </c>
      <c r="O38" s="1"/>
      <c r="P38" s="5">
        <v>2</v>
      </c>
      <c r="Q38" s="13">
        <v>6300</v>
      </c>
      <c r="R38" s="33">
        <f>+K38*$R$6</f>
        <v>164.79900000000001</v>
      </c>
      <c r="S38" s="32"/>
    </row>
    <row r="39" spans="1:22" x14ac:dyDescent="0.25">
      <c r="A39" s="34" t="s">
        <v>68</v>
      </c>
      <c r="B39" s="83">
        <f>B13</f>
        <v>3199.94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3199.94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1794.94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1794.94</v>
      </c>
      <c r="I40" s="85"/>
      <c r="J40" s="5">
        <v>2040</v>
      </c>
      <c r="K40" s="86">
        <f>SUM(K26:K39)</f>
        <v>18494.239999999998</v>
      </c>
      <c r="N40" s="1">
        <v>2040</v>
      </c>
      <c r="O40" s="1"/>
      <c r="P40" s="5">
        <v>2</v>
      </c>
      <c r="Q40" s="5">
        <v>2040</v>
      </c>
      <c r="R40" s="86">
        <f>SUM(R26:R39)</f>
        <v>16644.816000000003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2612.79</v>
      </c>
      <c r="C42" s="27">
        <f>B42-F42-G42-H42</f>
        <v>0</v>
      </c>
      <c r="D42" s="4">
        <v>6580</v>
      </c>
      <c r="F42" s="90">
        <v>146.44999999999999</v>
      </c>
      <c r="G42" s="90">
        <v>772.96</v>
      </c>
      <c r="H42" s="37">
        <f>B42-F42-G42</f>
        <v>1693.38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611.07000000000005</v>
      </c>
      <c r="C43" s="27">
        <f>B43-F43-G43-H43</f>
        <v>0</v>
      </c>
      <c r="D43" s="4">
        <v>6580</v>
      </c>
      <c r="F43" s="90">
        <v>34.25</v>
      </c>
      <c r="G43" s="90">
        <v>180.78</v>
      </c>
      <c r="H43" s="37">
        <f>B43-F43-G43</f>
        <v>396.04000000000008</v>
      </c>
      <c r="I43" s="12">
        <v>3</v>
      </c>
      <c r="J43" s="13">
        <v>6500</v>
      </c>
      <c r="K43" s="92">
        <f>F7</f>
        <v>3922.67</v>
      </c>
      <c r="M43" s="5" t="s">
        <v>71</v>
      </c>
      <c r="O43" s="1"/>
      <c r="P43" s="5">
        <v>3</v>
      </c>
      <c r="Q43" s="13">
        <v>6500</v>
      </c>
      <c r="R43" s="33">
        <f>+K43*$R$6</f>
        <v>3530.4030000000002</v>
      </c>
      <c r="S43" s="32"/>
    </row>
    <row r="44" spans="1:22" x14ac:dyDescent="0.25">
      <c r="A44" s="34" t="s">
        <v>72</v>
      </c>
      <c r="B44" s="89">
        <v>40.72</v>
      </c>
      <c r="C44" s="27">
        <f>B44-F44-G44-H44</f>
        <v>0</v>
      </c>
      <c r="D44" s="4">
        <v>6580</v>
      </c>
      <c r="F44" s="90"/>
      <c r="G44" s="91">
        <v>9.9</v>
      </c>
      <c r="H44" s="37">
        <f>B44-G44-F44</f>
        <v>30.82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482.15</v>
      </c>
      <c r="C45" s="27">
        <f>B45-F45-G45-H45</f>
        <v>0</v>
      </c>
      <c r="D45" s="4">
        <v>6580</v>
      </c>
      <c r="F45" s="90">
        <v>17.03</v>
      </c>
      <c r="G45" s="94">
        <v>125</v>
      </c>
      <c r="H45" s="37">
        <f>B45-G45-F45</f>
        <v>340.12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12.77</v>
      </c>
      <c r="C46" s="27">
        <f>B46-F46-G46-H46</f>
        <v>0</v>
      </c>
      <c r="F46" s="93">
        <v>0.45</v>
      </c>
      <c r="G46" s="96">
        <v>3.32</v>
      </c>
      <c r="H46" s="37">
        <f>B46-G46-F46</f>
        <v>9</v>
      </c>
      <c r="I46" s="12">
        <v>3</v>
      </c>
      <c r="J46" s="13">
        <v>6580</v>
      </c>
      <c r="K46" s="32">
        <f>ROUND($F$42+$F$43+$F$44+$F$45-$F$15+$F$46,2)</f>
        <v>196.98</v>
      </c>
      <c r="M46" s="39" t="s">
        <v>21</v>
      </c>
      <c r="O46" s="1"/>
      <c r="P46" s="5">
        <v>3</v>
      </c>
      <c r="Q46" s="13">
        <v>6580</v>
      </c>
      <c r="R46" s="33">
        <f>+K46*$R$6</f>
        <v>177.28199999999998</v>
      </c>
      <c r="S46" s="32"/>
    </row>
    <row r="47" spans="1:22" ht="18.75" thickBot="1" x14ac:dyDescent="0.3">
      <c r="B47" s="97">
        <f>SUM(B42:B46)</f>
        <v>3759.5</v>
      </c>
      <c r="C47" s="27">
        <f>B48-F47-G47-H47</f>
        <v>0</v>
      </c>
      <c r="D47" s="7"/>
      <c r="E47" s="1"/>
      <c r="F47" s="97">
        <f>SUM(F37:F46)</f>
        <v>198.17999999999998</v>
      </c>
      <c r="G47" s="97">
        <f>SUM(G37:G46)</f>
        <v>1091.9599999999998</v>
      </c>
      <c r="H47" s="71">
        <f>SUM(H37:H46)</f>
        <v>10688.080000000004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11978.220000000001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61.04</v>
      </c>
      <c r="M48" s="5" t="s">
        <v>40</v>
      </c>
      <c r="O48" s="1"/>
      <c r="P48" s="5">
        <v>3</v>
      </c>
      <c r="Q48" s="13">
        <v>6300</v>
      </c>
      <c r="R48" s="33">
        <f>+K48*$R$6</f>
        <v>54.936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-3.77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-3.3930000000000002</v>
      </c>
      <c r="S50" s="32"/>
    </row>
    <row r="51" spans="1:23" x14ac:dyDescent="0.25">
      <c r="A51" s="25" t="s">
        <v>78</v>
      </c>
      <c r="B51" s="80">
        <f>B23</f>
        <v>1987.66</v>
      </c>
      <c r="C51" s="106"/>
      <c r="D51" s="28">
        <v>6570</v>
      </c>
      <c r="E51" s="29"/>
      <c r="F51" s="81">
        <f>F23</f>
        <v>0</v>
      </c>
      <c r="G51" s="107">
        <f>G23</f>
        <v>641.95000000000005</v>
      </c>
      <c r="H51" s="31">
        <f>B51-G51-F51</f>
        <v>1345.71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692.31</v>
      </c>
      <c r="C52" s="27"/>
      <c r="F52" s="6">
        <f>F22</f>
        <v>0</v>
      </c>
      <c r="G52" s="88">
        <f>G22</f>
        <v>0</v>
      </c>
      <c r="H52" s="37">
        <f>B52-F52-G52</f>
        <v>692.31</v>
      </c>
      <c r="I52" s="12">
        <v>3</v>
      </c>
      <c r="J52" s="13">
        <v>6570</v>
      </c>
      <c r="K52" s="32">
        <f>-$F$23+$F$51+$F$58</f>
        <v>59.55</v>
      </c>
      <c r="M52" s="5" t="s">
        <v>25</v>
      </c>
      <c r="O52" s="1"/>
      <c r="P52" s="5">
        <v>3</v>
      </c>
      <c r="Q52" s="13">
        <v>6570</v>
      </c>
      <c r="R52" s="33">
        <f>+K52</f>
        <v>59.55</v>
      </c>
      <c r="S52" s="32"/>
    </row>
    <row r="53" spans="1:23" x14ac:dyDescent="0.25">
      <c r="A53" s="34" t="s">
        <v>60</v>
      </c>
      <c r="B53" s="108">
        <f>SUM(B51:B52)</f>
        <v>2679.9700000000003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1460.18</v>
      </c>
      <c r="C55" s="111"/>
      <c r="D55" s="4">
        <v>6571</v>
      </c>
      <c r="F55" s="90">
        <v>98.56</v>
      </c>
      <c r="G55" s="91">
        <v>379.85</v>
      </c>
      <c r="H55" s="37">
        <f>B55-F55-G55</f>
        <v>981.7700000000001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1609.34</v>
      </c>
      <c r="C56" s="111"/>
      <c r="D56" s="4">
        <v>6571</v>
      </c>
      <c r="F56" s="93"/>
      <c r="G56" s="93"/>
      <c r="H56" s="37">
        <f>B56-F56-G56</f>
        <v>1609.34</v>
      </c>
      <c r="I56" s="12"/>
      <c r="J56" s="13"/>
      <c r="K56" s="86">
        <f>SUM(K43:K55)</f>
        <v>4324.28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3917.3380000000006</v>
      </c>
    </row>
    <row r="57" spans="1:23" ht="18.75" thickTop="1" x14ac:dyDescent="0.25">
      <c r="A57" s="34" t="s">
        <v>82</v>
      </c>
      <c r="B57" s="83"/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595.51</v>
      </c>
      <c r="C58" s="111"/>
      <c r="D58" s="4">
        <v>6570</v>
      </c>
      <c r="F58" s="88">
        <f>ROUND(B58*10%,2)</f>
        <v>59.55</v>
      </c>
      <c r="G58" s="88">
        <f>ROUND(B58*30%,2)</f>
        <v>178.65</v>
      </c>
      <c r="H58" s="37">
        <f>ROUND(B58-F58-G58,2)</f>
        <v>357.31</v>
      </c>
      <c r="I58" s="52">
        <v>1</v>
      </c>
      <c r="J58" s="10">
        <v>1012</v>
      </c>
      <c r="K58" s="113">
        <f>-(K23+K40+K56+K74+K84+K90)-K59</f>
        <v>-52082.599999999991</v>
      </c>
      <c r="M58" s="1"/>
      <c r="N58" s="32">
        <f>+'[3]1012-CNB Checking'!$F$70</f>
        <v>52082.6</v>
      </c>
      <c r="O58" s="114">
        <f>+K58+N58</f>
        <v>0</v>
      </c>
      <c r="P58" s="32"/>
      <c r="R58" s="33"/>
    </row>
    <row r="59" spans="1:23" ht="18.75" thickTop="1" x14ac:dyDescent="0.25">
      <c r="A59" s="34" t="s">
        <v>48</v>
      </c>
      <c r="B59" s="83">
        <f>B24</f>
        <v>409.58</v>
      </c>
      <c r="C59" s="27"/>
      <c r="F59" s="88">
        <f>F24</f>
        <v>0</v>
      </c>
      <c r="G59" s="88">
        <f>G24</f>
        <v>123.58</v>
      </c>
      <c r="H59" s="37">
        <f>B59-F59-G59</f>
        <v>286</v>
      </c>
      <c r="I59" s="52">
        <v>1</v>
      </c>
      <c r="J59" s="10"/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389.23</v>
      </c>
      <c r="C60" s="27"/>
      <c r="F60" s="88">
        <f>F25</f>
        <v>101.92</v>
      </c>
      <c r="G60" s="88">
        <f>G25</f>
        <v>0</v>
      </c>
      <c r="H60" s="37">
        <f>B60-F60-G60</f>
        <v>287.31</v>
      </c>
      <c r="I60" s="115" t="s">
        <v>85</v>
      </c>
      <c r="K60" s="32"/>
      <c r="O60" s="1"/>
      <c r="R60" s="33"/>
    </row>
    <row r="61" spans="1:23" ht="18.75" thickBot="1" x14ac:dyDescent="0.3">
      <c r="A61" s="34" t="s">
        <v>60</v>
      </c>
      <c r="B61" s="116">
        <f>B53+B59+B60+B55+B58+B57</f>
        <v>5534.47</v>
      </c>
      <c r="C61" s="117"/>
      <c r="D61" s="7"/>
      <c r="E61" s="1"/>
      <c r="F61" s="71">
        <f>F51+F55</f>
        <v>98.56</v>
      </c>
      <c r="G61" s="71">
        <f>G51+G55</f>
        <v>1021.8000000000001</v>
      </c>
      <c r="H61" s="118">
        <f>B61-G61</f>
        <v>4512.67</v>
      </c>
      <c r="I61" s="115">
        <v>1</v>
      </c>
      <c r="J61" s="119">
        <v>1831</v>
      </c>
      <c r="K61" s="120">
        <v>765</v>
      </c>
      <c r="M61" s="5" t="s">
        <v>42</v>
      </c>
      <c r="O61" s="121"/>
      <c r="P61" s="5">
        <v>1</v>
      </c>
      <c r="Q61" s="5">
        <v>1831</v>
      </c>
      <c r="R61" s="3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>
        <v>98.17</v>
      </c>
      <c r="M62" s="5" t="s">
        <v>86</v>
      </c>
      <c r="O62" s="1"/>
      <c r="P62" s="5">
        <v>1</v>
      </c>
      <c r="Q62" s="5">
        <v>6551</v>
      </c>
      <c r="R62" s="3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5">
        <v>1</v>
      </c>
      <c r="Q63" s="5">
        <v>6551</v>
      </c>
      <c r="R63" s="3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>
        <f>23.08*0.6</f>
        <v>13.847999999999999</v>
      </c>
      <c r="M64" s="5" t="s">
        <v>89</v>
      </c>
      <c r="O64" s="1"/>
      <c r="P64" s="5">
        <v>1</v>
      </c>
      <c r="Q64" s="5">
        <v>6630</v>
      </c>
      <c r="R64" s="3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>
        <v>11.54</v>
      </c>
      <c r="M65" s="5" t="s">
        <v>90</v>
      </c>
      <c r="O65" s="1"/>
      <c r="P65" s="5">
        <v>1</v>
      </c>
      <c r="Q65" s="5">
        <v>6630</v>
      </c>
      <c r="R65" s="3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v>2098.9</v>
      </c>
      <c r="M66" s="5" t="s">
        <v>91</v>
      </c>
      <c r="O66" s="1"/>
      <c r="P66" s="5">
        <v>1</v>
      </c>
      <c r="Q66" s="5">
        <v>6565</v>
      </c>
      <c r="R66" s="3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5">
        <v>1</v>
      </c>
      <c r="Q67" s="5">
        <v>6560</v>
      </c>
      <c r="R67" s="33"/>
      <c r="S67" s="32"/>
    </row>
    <row r="68" spans="1:20" x14ac:dyDescent="0.25">
      <c r="F68" s="6"/>
      <c r="I68" s="85"/>
      <c r="K68" s="120"/>
      <c r="O68" s="1"/>
      <c r="R68" s="33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33"/>
    </row>
    <row r="70" spans="1:20" x14ac:dyDescent="0.25">
      <c r="A70" s="25" t="s">
        <v>94</v>
      </c>
      <c r="B70" s="26">
        <f>608.26+2.12</f>
        <v>610.38</v>
      </c>
      <c r="C70" s="106"/>
      <c r="D70" s="28">
        <v>6300</v>
      </c>
      <c r="E70" s="29"/>
      <c r="F70" s="81">
        <f>B70*F69</f>
        <v>61.038000000000004</v>
      </c>
      <c r="G70" s="107">
        <f>B70*G69</f>
        <v>183.114</v>
      </c>
      <c r="H70" s="31">
        <f>B70*H69-0</f>
        <v>366.22800000000001</v>
      </c>
      <c r="I70" s="85"/>
      <c r="K70" s="120"/>
      <c r="O70" s="1"/>
      <c r="R70" s="33"/>
      <c r="T70" s="32"/>
    </row>
    <row r="71" spans="1:20" ht="21" thickBot="1" x14ac:dyDescent="0.35">
      <c r="A71" s="34" t="s">
        <v>60</v>
      </c>
      <c r="B71" s="116">
        <f>SUM(B70)</f>
        <v>610.38</v>
      </c>
      <c r="C71" s="117"/>
      <c r="D71" s="7"/>
      <c r="E71" s="1"/>
      <c r="F71" s="71">
        <f>F70</f>
        <v>61.038000000000004</v>
      </c>
      <c r="G71" s="71">
        <f>G70</f>
        <v>183.114</v>
      </c>
      <c r="H71" s="118">
        <f>H70</f>
        <v>366.22800000000001</v>
      </c>
      <c r="I71" s="85"/>
      <c r="J71" s="85"/>
      <c r="K71" s="120"/>
      <c r="M71" s="125"/>
      <c r="O71" s="1"/>
      <c r="R71" s="33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33"/>
    </row>
    <row r="73" spans="1:20" ht="18.75" thickBot="1" x14ac:dyDescent="0.3">
      <c r="F73" s="6"/>
      <c r="I73" s="85"/>
      <c r="K73" s="127"/>
      <c r="O73" s="1"/>
      <c r="R73" s="33"/>
    </row>
    <row r="74" spans="1:20" ht="18.75" thickBot="1" x14ac:dyDescent="0.3">
      <c r="A74" s="1" t="s">
        <v>96</v>
      </c>
      <c r="B74" s="128">
        <f>ROUND((B71+B66+B61+B48+B32),2)</f>
        <v>52082.6</v>
      </c>
      <c r="F74" s="6"/>
      <c r="I74" s="85" t="s">
        <v>97</v>
      </c>
      <c r="K74" s="129">
        <f>SUM(K61:K73)</f>
        <v>2987.4580000000001</v>
      </c>
      <c r="O74" s="1"/>
      <c r="R74" s="33"/>
    </row>
    <row r="75" spans="1:20" ht="18.75" thickBot="1" x14ac:dyDescent="0.3">
      <c r="F75" s="6"/>
      <c r="I75" s="85">
        <v>2</v>
      </c>
      <c r="J75" s="119" t="s">
        <v>98</v>
      </c>
      <c r="K75" s="120"/>
      <c r="M75" s="5" t="s">
        <v>86</v>
      </c>
      <c r="O75" s="1"/>
      <c r="P75" s="5">
        <v>2</v>
      </c>
      <c r="Q75" s="119">
        <v>6551</v>
      </c>
      <c r="R75" s="33"/>
      <c r="S75" s="32"/>
    </row>
    <row r="76" spans="1:20" x14ac:dyDescent="0.25">
      <c r="A76" s="129" t="s">
        <v>99</v>
      </c>
      <c r="B76" s="26">
        <v>32350.19</v>
      </c>
      <c r="C76" s="130"/>
      <c r="D76" s="131" t="s">
        <v>100</v>
      </c>
      <c r="E76" s="6"/>
      <c r="F76" s="6"/>
      <c r="G76" s="132">
        <v>32350.19</v>
      </c>
      <c r="H76" s="6"/>
      <c r="I76" s="85">
        <v>2</v>
      </c>
      <c r="J76" s="119">
        <v>1831</v>
      </c>
      <c r="K76" s="120">
        <v>170</v>
      </c>
      <c r="M76" s="5" t="s">
        <v>42</v>
      </c>
      <c r="O76" s="1"/>
      <c r="P76" s="5">
        <v>2</v>
      </c>
      <c r="Q76" s="119">
        <v>6551</v>
      </c>
      <c r="R76" s="3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>
        <f>23.08*0.3</f>
        <v>6.9239999999999995</v>
      </c>
      <c r="M77" s="5" t="s">
        <v>89</v>
      </c>
      <c r="O77" s="1"/>
      <c r="P77" s="5">
        <v>2</v>
      </c>
      <c r="Q77" s="5">
        <v>6630</v>
      </c>
      <c r="R77" s="3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5">
        <v>2</v>
      </c>
      <c r="Q78" s="5">
        <v>6630</v>
      </c>
      <c r="R78" s="33"/>
      <c r="S78" s="32"/>
    </row>
    <row r="79" spans="1:20" ht="18.75" thickBot="1" x14ac:dyDescent="0.3">
      <c r="A79" s="134" t="s">
        <v>104</v>
      </c>
      <c r="B79" s="135">
        <f>ROUND(SUM(B76:B78),2)</f>
        <v>32350.19</v>
      </c>
      <c r="C79" s="130"/>
      <c r="D79" s="131"/>
      <c r="E79" s="6"/>
      <c r="F79" s="6"/>
      <c r="G79" s="129">
        <f>SUM(G76:G78)</f>
        <v>32350.19</v>
      </c>
      <c r="H79" s="6" t="s">
        <v>105</v>
      </c>
      <c r="I79" s="85">
        <v>2</v>
      </c>
      <c r="J79" s="5">
        <v>6551</v>
      </c>
      <c r="K79" s="120">
        <v>412.91</v>
      </c>
      <c r="M79" s="5" t="s">
        <v>91</v>
      </c>
      <c r="O79" s="1"/>
      <c r="P79" s="5">
        <v>2</v>
      </c>
      <c r="Q79" s="5">
        <v>6565</v>
      </c>
      <c r="R79" s="33"/>
      <c r="S79" s="32"/>
    </row>
    <row r="80" spans="1:20" ht="18.75" thickBot="1" x14ac:dyDescent="0.3">
      <c r="A80" s="1" t="s">
        <v>106</v>
      </c>
      <c r="B80" s="26">
        <v>51472.22</v>
      </c>
      <c r="H80" s="128" t="str">
        <f>IF(B79-G79=0,"ok","NO")</f>
        <v>ok</v>
      </c>
      <c r="I80" s="85">
        <v>2</v>
      </c>
      <c r="J80" s="5">
        <v>6040</v>
      </c>
      <c r="K80" s="120"/>
      <c r="M80" s="5" t="s">
        <v>131</v>
      </c>
      <c r="O80" s="1"/>
      <c r="P80" s="5">
        <v>2</v>
      </c>
      <c r="Q80" s="119" t="s">
        <v>107</v>
      </c>
      <c r="R80" s="33"/>
      <c r="S80" s="32"/>
    </row>
    <row r="81" spans="1:19" ht="18.75" thickBot="1" x14ac:dyDescent="0.3">
      <c r="A81" s="1" t="s">
        <v>94</v>
      </c>
      <c r="B81" s="3">
        <f>B66+B71</f>
        <v>610.38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33"/>
      <c r="S81" s="32"/>
    </row>
    <row r="82" spans="1:19" ht="18.75" thickBot="1" x14ac:dyDescent="0.3">
      <c r="B82" s="3">
        <f>+B80+B81</f>
        <v>52082.6</v>
      </c>
      <c r="C82" s="128" t="str">
        <f>IF(B74=B82,"ok","NO")</f>
        <v>ok</v>
      </c>
      <c r="F82" s="136"/>
      <c r="I82" s="85"/>
      <c r="J82" s="119"/>
      <c r="K82" s="127"/>
      <c r="O82" s="1"/>
      <c r="R82" s="33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</row>
    <row r="84" spans="1:19" x14ac:dyDescent="0.25">
      <c r="G84" s="32"/>
      <c r="I84" s="85"/>
      <c r="K84" s="129">
        <f>SUM(K75:K83)</f>
        <v>601.37400000000002</v>
      </c>
      <c r="O84" s="1"/>
      <c r="P84" s="5">
        <v>3</v>
      </c>
      <c r="Q84" s="5">
        <v>6551</v>
      </c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5"/>
      <c r="S85" s="32"/>
    </row>
    <row r="86" spans="1:19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5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>
        <f>23.08*0.1</f>
        <v>2.3079999999999998</v>
      </c>
      <c r="L87" s="5"/>
      <c r="M87" s="5" t="s">
        <v>89</v>
      </c>
      <c r="N87" s="5"/>
      <c r="O87" s="1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112</v>
      </c>
      <c r="N88" s="5"/>
      <c r="O88" s="1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</row>
    <row r="90" spans="1:19" x14ac:dyDescent="0.25">
      <c r="A90" s="5"/>
      <c r="B90" s="5"/>
      <c r="C90" s="5"/>
      <c r="D90" s="5"/>
      <c r="I90" s="85"/>
      <c r="K90" s="129">
        <f>SUM(K86:K89)</f>
        <v>2.3079999999999998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3591.1400000000003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7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4197-91A3-4EB8-A407-9DC38FCB739A}">
  <sheetPr>
    <tabColor rgb="FF00B0F0"/>
    <pageSetUpPr fitToPage="1"/>
  </sheetPr>
  <dimension ref="A2:Y100"/>
  <sheetViews>
    <sheetView topLeftCell="A9" zoomScale="70" zoomScaleNormal="70" zoomScalePageLayoutView="70" workbookViewId="0">
      <selection activeCell="K12" sqref="K12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1.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32" width="10.5" style="5"/>
    <col min="33" max="33" width="19.75" style="5" bestFit="1" customWidth="1"/>
    <col min="34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43539</v>
      </c>
      <c r="K2" s="9"/>
      <c r="M2" s="5" t="s">
        <v>1</v>
      </c>
    </row>
    <row r="3" spans="1:24" ht="18.75" thickBot="1" x14ac:dyDescent="0.3">
      <c r="A3" s="10" t="s">
        <v>2</v>
      </c>
      <c r="B3" s="8">
        <v>43524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B6" s="74"/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/>
      <c r="C7" s="27"/>
      <c r="D7" s="28"/>
      <c r="E7" s="29"/>
      <c r="F7" s="30"/>
      <c r="G7" s="146"/>
      <c r="H7" s="37">
        <f t="shared" ref="H7:H32" si="0">B7-F7-G7</f>
        <v>0</v>
      </c>
      <c r="I7" s="12">
        <v>1</v>
      </c>
      <c r="J7" s="13">
        <v>6510</v>
      </c>
      <c r="K7" s="32">
        <f>+H7</f>
        <v>0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>
        <v>1228.95</v>
      </c>
      <c r="C8" s="27"/>
      <c r="F8" s="127"/>
      <c r="G8" s="36">
        <f>+B8</f>
        <v>1228.95</v>
      </c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/>
      <c r="C9" s="27"/>
      <c r="D9" s="4">
        <v>6500</v>
      </c>
      <c r="F9" s="127"/>
      <c r="G9" s="36"/>
      <c r="H9" s="37">
        <f t="shared" si="0"/>
        <v>0</v>
      </c>
      <c r="I9" s="12">
        <v>1</v>
      </c>
      <c r="J9" s="13">
        <v>6500</v>
      </c>
      <c r="K9" s="32">
        <f>+H9</f>
        <v>0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27"/>
      <c r="F10" s="148"/>
      <c r="G10" s="148"/>
      <c r="H10" s="37">
        <f t="shared" si="0"/>
        <v>0</v>
      </c>
      <c r="I10" s="12">
        <v>1</v>
      </c>
      <c r="J10" s="13">
        <v>6580</v>
      </c>
      <c r="K10" s="32">
        <f>ROUND(H43+H44+H45+H46-H16+H47,2)</f>
        <v>0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27"/>
      <c r="F11" s="150"/>
      <c r="G11" s="150"/>
      <c r="H11" s="37">
        <f t="shared" si="0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76.19</v>
      </c>
      <c r="C12" s="27"/>
      <c r="F12" s="41"/>
      <c r="G12" s="41">
        <f>+B12</f>
        <v>76.19</v>
      </c>
      <c r="H12" s="37">
        <f t="shared" si="0"/>
        <v>0</v>
      </c>
      <c r="I12" s="12">
        <v>1</v>
      </c>
      <c r="J12" s="13">
        <v>6570</v>
      </c>
      <c r="K12" s="32">
        <f>-H24+H52+H59</f>
        <v>214.535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17.82</v>
      </c>
      <c r="C13" s="27"/>
      <c r="F13" s="41"/>
      <c r="G13" s="41">
        <f>+B13</f>
        <v>17.82</v>
      </c>
      <c r="H13" s="37">
        <f t="shared" si="0"/>
        <v>0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>
        <v>67.680000000000007</v>
      </c>
      <c r="C14" s="27"/>
      <c r="F14" s="41"/>
      <c r="G14" s="41">
        <f t="shared" ref="G14:G15" si="1">+B14</f>
        <v>67.680000000000007</v>
      </c>
      <c r="H14" s="37">
        <f t="shared" si="0"/>
        <v>0</v>
      </c>
      <c r="I14" s="12">
        <v>1</v>
      </c>
      <c r="J14" s="13">
        <v>6571</v>
      </c>
      <c r="K14" s="32">
        <f>+H56</f>
        <v>0</v>
      </c>
      <c r="L14" s="145"/>
      <c r="M14" s="5" t="s">
        <v>61</v>
      </c>
      <c r="P14" s="1"/>
    </row>
    <row r="15" spans="1:24" x14ac:dyDescent="0.25">
      <c r="A15" s="34" t="s">
        <v>28</v>
      </c>
      <c r="B15" s="151">
        <v>40.19</v>
      </c>
      <c r="C15" s="27"/>
      <c r="F15" s="41"/>
      <c r="G15" s="41">
        <f t="shared" si="1"/>
        <v>40.19</v>
      </c>
      <c r="H15" s="37">
        <f t="shared" si="0"/>
        <v>0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>
        <v>1.2</v>
      </c>
      <c r="C16" s="27"/>
      <c r="F16" s="152"/>
      <c r="G16" s="44">
        <f>+B16</f>
        <v>1.2</v>
      </c>
      <c r="H16" s="37">
        <f t="shared" si="0"/>
        <v>0</v>
      </c>
      <c r="I16" s="52">
        <v>1</v>
      </c>
      <c r="J16" s="10">
        <v>2120</v>
      </c>
      <c r="K16" s="21">
        <f>-H17</f>
        <v>0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2">SUM(R7:R15)</f>
        <v>779.02</v>
      </c>
      <c r="S16" s="154">
        <f t="shared" si="2"/>
        <v>944.95</v>
      </c>
      <c r="T16" s="154">
        <f t="shared" si="2"/>
        <v>348.52</v>
      </c>
      <c r="U16" s="154">
        <f t="shared" si="2"/>
        <v>1512.56</v>
      </c>
      <c r="V16" s="154">
        <f t="shared" si="2"/>
        <v>670.31999999999994</v>
      </c>
      <c r="W16" s="154">
        <f t="shared" si="2"/>
        <v>4475.92</v>
      </c>
      <c r="X16" s="154">
        <f t="shared" si="2"/>
        <v>1797.86</v>
      </c>
    </row>
    <row r="17" spans="1:25" ht="19.5" thickTop="1" thickBot="1" x14ac:dyDescent="0.3">
      <c r="A17" s="34" t="s">
        <v>33</v>
      </c>
      <c r="B17" s="151">
        <v>1.88</v>
      </c>
      <c r="C17" s="27"/>
      <c r="F17" s="152"/>
      <c r="G17" s="44">
        <f>+B17</f>
        <v>1.88</v>
      </c>
      <c r="H17" s="37">
        <f t="shared" si="0"/>
        <v>0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27"/>
      <c r="D18" s="54"/>
      <c r="E18" s="5"/>
      <c r="F18" s="41"/>
      <c r="G18" s="55"/>
      <c r="H18" s="37">
        <f t="shared" si="0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27"/>
      <c r="D19" s="54"/>
      <c r="E19" s="5"/>
      <c r="F19" s="41"/>
      <c r="G19" s="44"/>
      <c r="H19" s="37">
        <f t="shared" si="0"/>
        <v>0</v>
      </c>
      <c r="I19" s="12">
        <v>1</v>
      </c>
      <c r="J19" s="13">
        <v>6300</v>
      </c>
      <c r="K19" s="82">
        <f>ROUND(H72,2)</f>
        <v>0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27"/>
      <c r="D20" s="4"/>
      <c r="E20" s="5"/>
      <c r="F20" s="41"/>
      <c r="G20" s="55"/>
      <c r="H20" s="37">
        <f t="shared" si="0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27"/>
      <c r="D21" s="4"/>
      <c r="E21" s="5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27"/>
      <c r="D22" s="54"/>
      <c r="E22" s="5"/>
      <c r="F22" s="41"/>
      <c r="G22" s="44"/>
      <c r="H22" s="37">
        <f t="shared" si="0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27"/>
      <c r="D23" s="4"/>
      <c r="E23" s="5"/>
      <c r="F23" s="41"/>
      <c r="G23" s="55"/>
      <c r="H23" s="37">
        <f t="shared" si="0"/>
        <v>0</v>
      </c>
      <c r="I23" s="12"/>
      <c r="J23" s="13"/>
      <c r="K23" s="59">
        <f>SUM(K7:K22)</f>
        <v>214.535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>
        <v>98.32</v>
      </c>
      <c r="C24" s="27"/>
      <c r="D24" s="4"/>
      <c r="E24" s="5"/>
      <c r="F24" s="44"/>
      <c r="G24" s="44">
        <f>+B24</f>
        <v>98.32</v>
      </c>
      <c r="H24" s="37">
        <f t="shared" si="0"/>
        <v>0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27"/>
      <c r="D25" s="4"/>
      <c r="E25" s="5"/>
      <c r="F25" s="41"/>
      <c r="G25" s="44"/>
      <c r="H25" s="37">
        <f t="shared" si="0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27"/>
      <c r="D26" s="4"/>
      <c r="E26" s="5"/>
      <c r="F26" s="44"/>
      <c r="G26" s="44"/>
      <c r="H26" s="37">
        <f t="shared" si="0"/>
        <v>0</v>
      </c>
      <c r="I26" s="12">
        <v>2</v>
      </c>
      <c r="J26" s="13">
        <v>6510</v>
      </c>
      <c r="K26" s="32">
        <f>+G7</f>
        <v>0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27"/>
      <c r="D27" s="54"/>
      <c r="E27" s="5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1228.95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63"/>
      <c r="D28" s="4"/>
      <c r="E28" s="5"/>
      <c r="F28" s="41"/>
      <c r="G28" s="55"/>
      <c r="H28" s="37">
        <f t="shared" si="0"/>
        <v>0</v>
      </c>
      <c r="I28" s="12">
        <v>2</v>
      </c>
      <c r="J28" s="13">
        <v>6500</v>
      </c>
      <c r="K28" s="32">
        <f>+G9</f>
        <v>0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27"/>
      <c r="D29" s="54"/>
      <c r="E29" s="5"/>
      <c r="F29" s="41"/>
      <c r="G29" s="44"/>
      <c r="H29" s="37">
        <f t="shared" si="0"/>
        <v>0</v>
      </c>
      <c r="I29" s="12">
        <v>2</v>
      </c>
      <c r="J29" s="13">
        <v>6580</v>
      </c>
      <c r="K29" s="32">
        <f>-G16+G43+G44+G45+G46+G47</f>
        <v>92.81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65"/>
      <c r="D30" s="54"/>
      <c r="E30" s="5"/>
      <c r="F30" s="66"/>
      <c r="G30" s="67"/>
      <c r="H30" s="37">
        <f t="shared" si="0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27"/>
      <c r="D31" s="4"/>
      <c r="E31" s="5"/>
      <c r="F31" s="68"/>
      <c r="G31" s="67"/>
      <c r="H31" s="37">
        <f t="shared" si="0"/>
        <v>0</v>
      </c>
      <c r="I31" s="12">
        <v>2</v>
      </c>
      <c r="J31" s="13">
        <v>6570</v>
      </c>
      <c r="K31" s="32">
        <f>-G24+G52+G59</f>
        <v>214.535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27">
        <f t="shared" ref="C32" si="3">B32-F32-G32-H32</f>
        <v>0</v>
      </c>
      <c r="D32" s="4">
        <v>6500</v>
      </c>
      <c r="E32" s="5"/>
      <c r="F32" s="69"/>
      <c r="G32" s="70"/>
      <c r="H32" s="37">
        <f t="shared" si="0"/>
        <v>0</v>
      </c>
      <c r="I32" s="12">
        <v>2</v>
      </c>
      <c r="J32" s="13">
        <v>6571</v>
      </c>
      <c r="K32" s="32">
        <f>G56</f>
        <v>49.16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925.66999999999985</v>
      </c>
      <c r="C33" s="72">
        <f>B33-F33-G33-H33</f>
        <v>-1.8800000000001091</v>
      </c>
      <c r="D33" s="71"/>
      <c r="E33" s="71"/>
      <c r="F33" s="71">
        <f>F7+F8+F10+F11-F12-F13-F14-F15-F16-F30-F21-F27-F26-F29-F18-F22-F19-F24-F23-F25+F31+F32</f>
        <v>0</v>
      </c>
      <c r="G33" s="71">
        <f>G7+G8+G10+G11-G12-G13-G14-G15-G16-G30-G21-G27-G26-G29-G18-G22-G19-G24-G23-G25+G31+G32</f>
        <v>927.55</v>
      </c>
      <c r="H33" s="71">
        <f>H7+H8+H10+H11-H12-H13-H14-H15-H16-H30-H21-H27-H26-H29-H18-H22-H19-H24-H23-H25+H31+H32-H20-H28</f>
        <v>0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-1.88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76.19</v>
      </c>
      <c r="C38" s="27">
        <f>B38-F38-G38-H38</f>
        <v>0</v>
      </c>
      <c r="D38" s="28">
        <v>2100</v>
      </c>
      <c r="E38" s="29"/>
      <c r="F38" s="81">
        <v>0</v>
      </c>
      <c r="G38" s="80">
        <f>+B38</f>
        <v>76.19</v>
      </c>
      <c r="H38" s="31">
        <f>B38-G38-F38</f>
        <v>0</v>
      </c>
      <c r="I38" s="12">
        <v>2</v>
      </c>
      <c r="J38" s="13">
        <v>6300</v>
      </c>
      <c r="K38" s="84">
        <f>ROUND(G72,2)</f>
        <v>0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17.82</v>
      </c>
      <c r="C39" s="27">
        <f>B39-F39-G39-H39</f>
        <v>0</v>
      </c>
      <c r="D39" s="4">
        <v>2100</v>
      </c>
      <c r="E39" s="5"/>
      <c r="F39" s="6">
        <v>0</v>
      </c>
      <c r="G39" s="83">
        <f t="shared" ref="G39:G41" si="4">+B39</f>
        <v>17.82</v>
      </c>
      <c r="H39" s="37">
        <f>B39-G39-F39</f>
        <v>0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67.680000000000007</v>
      </c>
      <c r="C40" s="27">
        <f>B40-F40-G40-H40</f>
        <v>0</v>
      </c>
      <c r="D40" s="4">
        <v>2110</v>
      </c>
      <c r="E40" s="5"/>
      <c r="F40" s="6">
        <v>0</v>
      </c>
      <c r="G40" s="83">
        <f t="shared" si="4"/>
        <v>67.680000000000007</v>
      </c>
      <c r="H40" s="37">
        <f>B40-G40-F40</f>
        <v>0</v>
      </c>
      <c r="I40" s="85"/>
      <c r="J40" s="5"/>
      <c r="K40" s="86">
        <f>SUM(K26:K39)</f>
        <v>1583.575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40.19</v>
      </c>
      <c r="C41" s="27">
        <f>B41-F41-G41-H41</f>
        <v>0</v>
      </c>
      <c r="D41" s="4">
        <v>2120</v>
      </c>
      <c r="E41" s="5"/>
      <c r="F41" s="6">
        <v>0</v>
      </c>
      <c r="G41" s="83">
        <f t="shared" si="4"/>
        <v>40.19</v>
      </c>
      <c r="H41" s="37">
        <f>B41-G41-F41</f>
        <v>0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76.19</v>
      </c>
      <c r="C43" s="27">
        <f>B43-F43-G43-H43</f>
        <v>0</v>
      </c>
      <c r="D43" s="4">
        <v>6580</v>
      </c>
      <c r="E43" s="5"/>
      <c r="F43" s="90"/>
      <c r="G43" s="90">
        <f>+B43</f>
        <v>76.19</v>
      </c>
      <c r="H43" s="37">
        <f>B43-F43-G43</f>
        <v>0</v>
      </c>
      <c r="I43" s="12">
        <v>3</v>
      </c>
      <c r="J43" s="13">
        <v>6510</v>
      </c>
      <c r="K43" s="92">
        <f>+F7</f>
        <v>0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17.82</v>
      </c>
      <c r="C44" s="27">
        <f>B44-F44-G44-H44</f>
        <v>0</v>
      </c>
      <c r="D44" s="4">
        <v>6580</v>
      </c>
      <c r="E44" s="5"/>
      <c r="F44" s="90"/>
      <c r="G44" s="90">
        <f>+B44</f>
        <v>17.82</v>
      </c>
      <c r="H44" s="37">
        <f>B44-F44-G44</f>
        <v>0</v>
      </c>
      <c r="I44" s="12">
        <v>3</v>
      </c>
      <c r="J44" s="13">
        <v>6505</v>
      </c>
      <c r="K44" s="92">
        <f>+F8</f>
        <v>0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/>
      <c r="C45" s="27">
        <f>B45-F45-G45-H45</f>
        <v>0</v>
      </c>
      <c r="D45" s="4">
        <v>6580</v>
      </c>
      <c r="E45" s="5"/>
      <c r="F45" s="90"/>
      <c r="G45" s="91"/>
      <c r="H45" s="37">
        <f>B45-G45-F45</f>
        <v>0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/>
      <c r="C46" s="27">
        <f>B46-F46-G46-H46</f>
        <v>0</v>
      </c>
      <c r="D46" s="4">
        <v>6580</v>
      </c>
      <c r="E46" s="5"/>
      <c r="F46" s="93"/>
      <c r="G46" s="94"/>
      <c r="H46" s="37">
        <f>B46-G46-F46</f>
        <v>0</v>
      </c>
      <c r="I46" s="12">
        <v>3</v>
      </c>
      <c r="J46" s="13">
        <v>6580</v>
      </c>
      <c r="K46" s="92">
        <f>-F16+F43+F44+F45+F46+F47</f>
        <v>0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/>
      <c r="C47" s="27">
        <f>B47-F47-G47-H47</f>
        <v>0</v>
      </c>
      <c r="D47" s="4"/>
      <c r="E47" s="5"/>
      <c r="F47" s="95"/>
      <c r="G47" s="96"/>
      <c r="H47" s="37">
        <f>B47-G47-F47</f>
        <v>0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94.009999999999991</v>
      </c>
      <c r="C48" s="27">
        <f>B49-F48-G48-H48</f>
        <v>0</v>
      </c>
      <c r="D48" s="7"/>
      <c r="E48" s="1"/>
      <c r="F48" s="97">
        <f>SUM(F38:F47)</f>
        <v>0</v>
      </c>
      <c r="G48" s="97">
        <f>SUM(G38:G47)</f>
        <v>295.89</v>
      </c>
      <c r="H48" s="71">
        <f>SUM(H38:H47)</f>
        <v>0</v>
      </c>
      <c r="I48" s="12">
        <v>3</v>
      </c>
      <c r="J48" s="13">
        <v>6300</v>
      </c>
      <c r="K48" s="92">
        <f>ROUND(F72,2)</f>
        <v>0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5" s="33" customFormat="1" ht="19.5" thickTop="1" thickBot="1" x14ac:dyDescent="0.3">
      <c r="A49" s="34" t="s">
        <v>60</v>
      </c>
      <c r="B49" s="98">
        <f>SUM(B38:B47)</f>
        <v>295.89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5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0</v>
      </c>
      <c r="L50" s="1"/>
      <c r="M50" s="1" t="s">
        <v>34</v>
      </c>
      <c r="N50" s="1"/>
      <c r="O50" s="1"/>
      <c r="P50" s="1"/>
    </row>
    <row r="51" spans="1:25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5" x14ac:dyDescent="0.25">
      <c r="A52" s="25" t="s">
        <v>78</v>
      </c>
      <c r="B52" s="80">
        <f>B24</f>
        <v>98.32</v>
      </c>
      <c r="C52" s="106"/>
      <c r="D52" s="28">
        <v>6570</v>
      </c>
      <c r="E52" s="29"/>
      <c r="F52" s="81">
        <f>F24</f>
        <v>0</v>
      </c>
      <c r="G52" s="107">
        <f>G24</f>
        <v>98.32</v>
      </c>
      <c r="H52" s="31">
        <f>B52-G52-F52</f>
        <v>0</v>
      </c>
      <c r="I52" s="12">
        <v>3</v>
      </c>
      <c r="J52" s="13">
        <v>6570</v>
      </c>
      <c r="K52" s="92">
        <f>F59</f>
        <v>0</v>
      </c>
      <c r="M52" s="5" t="s">
        <v>25</v>
      </c>
      <c r="O52" s="1"/>
      <c r="P52" s="1"/>
    </row>
    <row r="53" spans="1:25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0</v>
      </c>
      <c r="M53" s="5" t="s">
        <v>27</v>
      </c>
      <c r="O53" s="1"/>
      <c r="P53" s="1"/>
    </row>
    <row r="54" spans="1:25" x14ac:dyDescent="0.25">
      <c r="A54" s="34" t="s">
        <v>60</v>
      </c>
      <c r="B54" s="108">
        <f>SUM(B52:B53)</f>
        <v>98.32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5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5" ht="18.75" thickBot="1" x14ac:dyDescent="0.3">
      <c r="A56" s="34" t="s">
        <v>80</v>
      </c>
      <c r="B56" s="110">
        <v>49.16</v>
      </c>
      <c r="C56" s="111"/>
      <c r="D56" s="4">
        <v>6571</v>
      </c>
      <c r="F56" s="90"/>
      <c r="G56" s="91">
        <f>+B56</f>
        <v>49.16</v>
      </c>
      <c r="H56" s="37">
        <f t="shared" ref="H56:H61" si="5">B56-F56-G56</f>
        <v>0</v>
      </c>
      <c r="I56" s="12"/>
      <c r="J56" s="13"/>
      <c r="K56" s="86">
        <f>SUM(K43:K55)</f>
        <v>0</v>
      </c>
      <c r="L56" s="1"/>
      <c r="N56" s="1">
        <v>2040</v>
      </c>
      <c r="O56" s="1"/>
      <c r="P56" s="1"/>
      <c r="Q56" s="33">
        <f>+O58+K58</f>
        <v>0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5" ht="18.75" thickTop="1" x14ac:dyDescent="0.25">
      <c r="A57" s="34" t="s">
        <v>61</v>
      </c>
      <c r="B57" s="112"/>
      <c r="C57" s="111"/>
      <c r="D57" s="4">
        <v>6571</v>
      </c>
      <c r="F57" s="93"/>
      <c r="G57" s="157"/>
      <c r="H57" s="37">
        <f t="shared" si="5"/>
        <v>0</v>
      </c>
      <c r="I57" s="12"/>
      <c r="J57" s="13"/>
      <c r="K57" s="32"/>
      <c r="M57" s="1" t="s">
        <v>83</v>
      </c>
      <c r="O57" s="1"/>
      <c r="P57" s="1"/>
    </row>
    <row r="58" spans="1:25" ht="18.75" thickBot="1" x14ac:dyDescent="0.3">
      <c r="A58" s="34" t="s">
        <v>82</v>
      </c>
      <c r="B58" s="83">
        <f>+B20</f>
        <v>0</v>
      </c>
      <c r="C58" s="111"/>
      <c r="F58" s="6"/>
      <c r="G58" s="88"/>
      <c r="H58" s="37">
        <f t="shared" si="5"/>
        <v>0</v>
      </c>
      <c r="I58" s="52">
        <v>1</v>
      </c>
      <c r="J58" s="10">
        <v>1012</v>
      </c>
      <c r="K58" s="113">
        <f>-(K23+K40+K56+K76+K83+K88)-K59-K60</f>
        <v>-1798.1100000000001</v>
      </c>
      <c r="M58" s="1"/>
      <c r="O58" s="114">
        <f>+'[3]1012-CNB Checking'!$F$94</f>
        <v>1798.11</v>
      </c>
      <c r="P58" s="114"/>
      <c r="Y58" s="32">
        <f>+K58+O58</f>
        <v>0</v>
      </c>
    </row>
    <row r="59" spans="1:25" ht="18.75" thickTop="1" x14ac:dyDescent="0.25">
      <c r="A59" s="34" t="s">
        <v>25</v>
      </c>
      <c r="B59" s="110">
        <v>429.07</v>
      </c>
      <c r="C59" s="111"/>
      <c r="D59" s="4">
        <v>6570</v>
      </c>
      <c r="F59" s="160"/>
      <c r="G59" s="88">
        <f>+B59*0.5</f>
        <v>214.535</v>
      </c>
      <c r="H59" s="37">
        <f t="shared" si="5"/>
        <v>214.535</v>
      </c>
      <c r="I59" s="85">
        <v>1</v>
      </c>
      <c r="K59" s="21"/>
      <c r="O59" s="21"/>
      <c r="P59" s="1"/>
    </row>
    <row r="60" spans="1:25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 t="shared" si="5"/>
        <v>0</v>
      </c>
      <c r="I60" s="85">
        <v>1</v>
      </c>
      <c r="K60" s="21"/>
      <c r="O60" s="21"/>
      <c r="P60" s="1"/>
    </row>
    <row r="61" spans="1:25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 t="shared" si="5"/>
        <v>0</v>
      </c>
      <c r="I61" s="85"/>
      <c r="K61" s="21"/>
      <c r="O61" s="21"/>
      <c r="P61" s="1"/>
    </row>
    <row r="62" spans="1:25" ht="18.75" thickBot="1" x14ac:dyDescent="0.3">
      <c r="A62" s="34" t="s">
        <v>60</v>
      </c>
      <c r="B62" s="116">
        <f>B54+B60+B61+B56+B59+B58</f>
        <v>576.54999999999995</v>
      </c>
      <c r="C62" s="117"/>
      <c r="D62" s="7"/>
      <c r="E62" s="1"/>
      <c r="F62" s="71">
        <f>F52+F56</f>
        <v>0</v>
      </c>
      <c r="G62" s="71">
        <f>G52+G56</f>
        <v>147.47999999999999</v>
      </c>
      <c r="H62" s="118">
        <f>B62-G62</f>
        <v>429.06999999999994</v>
      </c>
      <c r="I62" s="115" t="s">
        <v>85</v>
      </c>
      <c r="K62" s="32"/>
      <c r="O62" s="1"/>
      <c r="P62" s="1"/>
    </row>
    <row r="63" spans="1:25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5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v>0.1</v>
      </c>
      <c r="G65" s="123">
        <v>0.3</v>
      </c>
      <c r="H65" s="123">
        <v>0.6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0.1</v>
      </c>
      <c r="G70" s="123">
        <f>G65</f>
        <v>0.3</v>
      </c>
      <c r="H70" s="123">
        <f>H65</f>
        <v>0.6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/>
      <c r="C71" s="106"/>
      <c r="D71" s="28">
        <v>6300</v>
      </c>
      <c r="E71" s="29"/>
      <c r="F71" s="81">
        <f>B71*F70</f>
        <v>0</v>
      </c>
      <c r="G71" s="107">
        <f>B71*G70</f>
        <v>0</v>
      </c>
      <c r="H71" s="31">
        <f>B71*H70-0</f>
        <v>0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0</v>
      </c>
      <c r="C72" s="117"/>
      <c r="D72" s="7"/>
      <c r="E72" s="1"/>
      <c r="F72" s="71">
        <f>F71</f>
        <v>0</v>
      </c>
      <c r="G72" s="71">
        <f>G71</f>
        <v>0</v>
      </c>
      <c r="H72" s="118">
        <f>H71</f>
        <v>0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1798.11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925.67</v>
      </c>
      <c r="C77" s="130"/>
      <c r="D77" s="131" t="s">
        <v>100</v>
      </c>
      <c r="E77" s="6"/>
      <c r="F77" s="6"/>
      <c r="G77" s="132">
        <v>625.66999999999996</v>
      </c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925.67</v>
      </c>
      <c r="C80" s="130"/>
      <c r="D80" s="131"/>
      <c r="E80" s="6"/>
      <c r="F80" s="6"/>
      <c r="G80" s="129">
        <f>SUM(G77:G79)</f>
        <v>625.66999999999996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1798.11</v>
      </c>
      <c r="C81" s="3"/>
      <c r="D81" s="4"/>
      <c r="E81" s="5"/>
      <c r="F81" s="5"/>
      <c r="G81" s="5"/>
      <c r="H81" s="128" t="str">
        <f>IF(B80-G80=0,"ok","NO")</f>
        <v>NO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0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1798.11</v>
      </c>
      <c r="C83" s="128" t="str">
        <f>IF(B75=B83,"ok","NO")</f>
        <v>ok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0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A1F5-3DF2-425B-920E-45E69081EC02}">
  <sheetPr>
    <tabColor rgb="FF00B050"/>
    <pageSetUpPr fitToPage="1"/>
  </sheetPr>
  <dimension ref="A2:Z99"/>
  <sheetViews>
    <sheetView zoomScale="70" zoomScaleNormal="70" zoomScalePageLayoutView="70" workbookViewId="0">
      <selection activeCell="O32" sqref="O32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4.2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43545</v>
      </c>
      <c r="K2" s="9"/>
      <c r="M2" s="5" t="s">
        <v>1</v>
      </c>
    </row>
    <row r="3" spans="1:19" x14ac:dyDescent="0.25">
      <c r="A3" s="10" t="s">
        <v>2</v>
      </c>
      <c r="B3" s="8">
        <v>43539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0.9</v>
      </c>
    </row>
    <row r="7" spans="1:19" x14ac:dyDescent="0.25">
      <c r="A7" s="25" t="s">
        <v>14</v>
      </c>
      <c r="B7" s="26">
        <v>45749</v>
      </c>
      <c r="C7" s="27">
        <f>B7-F7-G7-H7</f>
        <v>0</v>
      </c>
      <c r="D7" s="28">
        <v>6500</v>
      </c>
      <c r="E7" s="29"/>
      <c r="F7" s="30">
        <v>3907.7</v>
      </c>
      <c r="G7" s="30">
        <v>17280.3</v>
      </c>
      <c r="H7" s="31">
        <f t="shared" ref="H7:H31" si="0">B7-F7-G7</f>
        <v>24561.000000000004</v>
      </c>
      <c r="I7" s="12">
        <v>1</v>
      </c>
      <c r="J7" s="13">
        <v>6500</v>
      </c>
      <c r="K7" s="32">
        <f>H7</f>
        <v>24561.000000000004</v>
      </c>
      <c r="M7" s="5" t="s">
        <v>15</v>
      </c>
      <c r="P7" s="5">
        <v>1</v>
      </c>
      <c r="Q7" s="13">
        <v>6500</v>
      </c>
      <c r="R7" s="33">
        <f>+K7*$R$6</f>
        <v>22104.900000000005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3272.17</v>
      </c>
      <c r="C10" s="27">
        <f t="shared" ref="C10:C30" si="1">B10-F10-G10-H10</f>
        <v>0</v>
      </c>
      <c r="D10" s="4">
        <v>6040</v>
      </c>
      <c r="F10" s="35">
        <v>49.75</v>
      </c>
      <c r="G10" s="36">
        <v>1959.54</v>
      </c>
      <c r="H10" s="37">
        <f t="shared" si="0"/>
        <v>1262.8800000000001</v>
      </c>
      <c r="I10" s="12">
        <v>1</v>
      </c>
      <c r="J10" s="13">
        <v>6580</v>
      </c>
      <c r="K10" s="32">
        <f>ROUND($H$42+$H$43+$H$44+$H$45-$H$15+$H$46,2)</f>
        <v>3423.36</v>
      </c>
      <c r="M10" s="39" t="s">
        <v>21</v>
      </c>
      <c r="P10" s="5">
        <v>1</v>
      </c>
      <c r="Q10" s="13">
        <v>6580</v>
      </c>
      <c r="R10" s="33">
        <f>+K10*$R$6</f>
        <v>3081.0240000000003</v>
      </c>
      <c r="S10" s="32"/>
    </row>
    <row r="11" spans="1:19" x14ac:dyDescent="0.25">
      <c r="A11" s="34" t="s">
        <v>22</v>
      </c>
      <c r="B11" s="40">
        <v>2698.33</v>
      </c>
      <c r="C11" s="27">
        <f t="shared" si="1"/>
        <v>0</v>
      </c>
      <c r="D11" s="4">
        <v>2100</v>
      </c>
      <c r="F11" s="41"/>
      <c r="G11" s="41"/>
      <c r="H11" s="37">
        <f t="shared" si="0"/>
        <v>2698.33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631.04999999999995</v>
      </c>
      <c r="C12" s="27">
        <f t="shared" si="1"/>
        <v>0</v>
      </c>
      <c r="D12" s="4">
        <v>2100</v>
      </c>
      <c r="F12" s="41"/>
      <c r="G12" s="41"/>
      <c r="H12" s="37">
        <f t="shared" si="0"/>
        <v>631.04999999999995</v>
      </c>
      <c r="I12" s="12">
        <v>1</v>
      </c>
      <c r="J12" s="13">
        <v>6570</v>
      </c>
      <c r="K12" s="32">
        <f>-H23+H51+H58</f>
        <v>379</v>
      </c>
      <c r="M12" s="5" t="s">
        <v>25</v>
      </c>
      <c r="P12" s="5">
        <v>1</v>
      </c>
      <c r="Q12" s="13">
        <v>6570</v>
      </c>
      <c r="R12" s="33">
        <f>+K12*R6</f>
        <v>341.1</v>
      </c>
      <c r="S12" s="32"/>
    </row>
    <row r="13" spans="1:19" x14ac:dyDescent="0.25">
      <c r="A13" s="34" t="s">
        <v>26</v>
      </c>
      <c r="B13" s="42">
        <v>3357.31</v>
      </c>
      <c r="C13" s="27">
        <f t="shared" si="1"/>
        <v>0</v>
      </c>
      <c r="D13" s="4">
        <v>2110</v>
      </c>
      <c r="F13" s="41"/>
      <c r="G13" s="41"/>
      <c r="H13" s="37">
        <f t="shared" si="0"/>
        <v>3357.31</v>
      </c>
      <c r="I13" s="12">
        <v>1</v>
      </c>
      <c r="J13" s="13">
        <v>6571</v>
      </c>
      <c r="K13" s="32">
        <f>ROUND(H55,2)</f>
        <v>1024.52</v>
      </c>
      <c r="M13" s="43" t="s">
        <v>27</v>
      </c>
      <c r="P13" s="5">
        <v>1</v>
      </c>
      <c r="Q13" s="13">
        <v>6571</v>
      </c>
      <c r="R13" s="33">
        <f>+K13*$R$6</f>
        <v>922.06799999999998</v>
      </c>
      <c r="S13" s="32"/>
    </row>
    <row r="14" spans="1:19" x14ac:dyDescent="0.25">
      <c r="A14" s="34" t="s">
        <v>28</v>
      </c>
      <c r="B14" s="42">
        <v>1845.31</v>
      </c>
      <c r="C14" s="27">
        <f t="shared" si="1"/>
        <v>0</v>
      </c>
      <c r="D14" s="4">
        <v>2120</v>
      </c>
      <c r="F14" s="41"/>
      <c r="G14" s="41"/>
      <c r="H14" s="37">
        <f t="shared" si="0"/>
        <v>1845.31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25.2</v>
      </c>
      <c r="C15" s="27">
        <f t="shared" si="1"/>
        <v>0</v>
      </c>
      <c r="D15" s="4">
        <v>6580</v>
      </c>
      <c r="F15" s="44">
        <v>1.2</v>
      </c>
      <c r="G15" s="44">
        <v>7.2</v>
      </c>
      <c r="H15" s="37">
        <f t="shared" si="0"/>
        <v>16.8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/>
    </row>
    <row r="16" spans="1:19" ht="18.75" thickBot="1" x14ac:dyDescent="0.3">
      <c r="A16" s="34" t="s">
        <v>33</v>
      </c>
      <c r="B16" s="51">
        <v>69.97</v>
      </c>
      <c r="C16" s="27">
        <f t="shared" si="1"/>
        <v>0</v>
      </c>
      <c r="D16" s="7">
        <v>2120</v>
      </c>
      <c r="F16" s="44">
        <v>3.77</v>
      </c>
      <c r="G16" s="44">
        <v>19.82</v>
      </c>
      <c r="H16" s="37">
        <f t="shared" si="0"/>
        <v>46.38</v>
      </c>
      <c r="I16" s="52">
        <v>1</v>
      </c>
      <c r="J16" s="10">
        <v>2120</v>
      </c>
      <c r="K16" s="21">
        <f>-H16</f>
        <v>-46.38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-41.742000000000004</v>
      </c>
      <c r="S16" s="32"/>
    </row>
    <row r="17" spans="1:26" x14ac:dyDescent="0.25">
      <c r="A17" s="34" t="s">
        <v>35</v>
      </c>
      <c r="B17" s="53">
        <v>24</v>
      </c>
      <c r="C17" s="27">
        <f t="shared" si="1"/>
        <v>0</v>
      </c>
      <c r="D17" s="54">
        <v>1830</v>
      </c>
      <c r="F17" s="41"/>
      <c r="G17" s="55"/>
      <c r="H17" s="37">
        <f t="shared" si="0"/>
        <v>24</v>
      </c>
      <c r="I17" s="12">
        <v>1</v>
      </c>
      <c r="J17" s="13">
        <v>1830</v>
      </c>
      <c r="K17" s="56">
        <f>ROUND(-H20-H27-H17-H18-H21-H26-H28,2)</f>
        <v>-1187.07</v>
      </c>
      <c r="M17" s="5" t="s">
        <v>36</v>
      </c>
      <c r="P17" s="5">
        <v>1</v>
      </c>
      <c r="Q17" s="13">
        <v>1830</v>
      </c>
      <c r="R17" s="33">
        <f>+K17*$R$6</f>
        <v>-1068.3630000000001</v>
      </c>
      <c r="S17" s="32"/>
    </row>
    <row r="18" spans="1:26" x14ac:dyDescent="0.25">
      <c r="A18" s="34" t="s">
        <v>37</v>
      </c>
      <c r="B18" s="57">
        <v>87.96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28.079999999999991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57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366.23</v>
      </c>
      <c r="M19" s="5" t="s">
        <v>40</v>
      </c>
      <c r="P19" s="5">
        <v>1</v>
      </c>
      <c r="Q19" s="13">
        <v>6300</v>
      </c>
      <c r="R19" s="33">
        <f>+K19*$R$6</f>
        <v>329.60700000000003</v>
      </c>
      <c r="S19" s="32"/>
    </row>
    <row r="20" spans="1:26" x14ac:dyDescent="0.25">
      <c r="A20" s="34" t="s">
        <v>41</v>
      </c>
      <c r="B20" s="57">
        <v>1751.52</v>
      </c>
      <c r="C20" s="27">
        <f t="shared" si="1"/>
        <v>0</v>
      </c>
      <c r="D20" s="4">
        <v>1830</v>
      </c>
      <c r="F20" s="41"/>
      <c r="G20" s="44">
        <v>809.87</v>
      </c>
      <c r="H20" s="37">
        <f t="shared" si="0"/>
        <v>941.65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57">
        <v>194.16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68.16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57">
        <v>692.31</v>
      </c>
      <c r="C22" s="27">
        <f t="shared" si="1"/>
        <v>0</v>
      </c>
      <c r="F22" s="41"/>
      <c r="G22" s="55"/>
      <c r="H22" s="37">
        <f t="shared" si="0"/>
        <v>692.31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57">
        <v>2003.84</v>
      </c>
      <c r="C23" s="27">
        <f t="shared" si="1"/>
        <v>0</v>
      </c>
      <c r="D23" s="4">
        <v>6570</v>
      </c>
      <c r="F23" s="44">
        <v>172.48</v>
      </c>
      <c r="G23" s="44">
        <v>611.75</v>
      </c>
      <c r="H23" s="37">
        <f t="shared" si="0"/>
        <v>1219.6099999999999</v>
      </c>
      <c r="I23" s="12"/>
      <c r="J23" s="13"/>
      <c r="K23" s="59">
        <f>SUM(K7:K22)</f>
        <v>28520.660000000003</v>
      </c>
      <c r="N23" s="1">
        <v>2040</v>
      </c>
      <c r="P23" s="5">
        <v>1</v>
      </c>
      <c r="Q23" s="13">
        <v>2040</v>
      </c>
      <c r="R23" s="60">
        <f>SUM(R7:R22)</f>
        <v>25668.594000000005</v>
      </c>
      <c r="S23" s="6"/>
    </row>
    <row r="24" spans="1:26" ht="18.75" thickTop="1" x14ac:dyDescent="0.25">
      <c r="A24" s="34" t="s">
        <v>48</v>
      </c>
      <c r="B24" s="57">
        <v>495.3</v>
      </c>
      <c r="C24" s="27">
        <f t="shared" si="1"/>
        <v>0</v>
      </c>
      <c r="F24" s="41"/>
      <c r="G24" s="44">
        <v>123.58</v>
      </c>
      <c r="H24" s="37">
        <f t="shared" si="0"/>
        <v>371.72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57">
        <v>389.23</v>
      </c>
      <c r="C25" s="27">
        <f t="shared" si="1"/>
        <v>0</v>
      </c>
      <c r="F25" s="44">
        <v>101.92</v>
      </c>
      <c r="G25" s="44"/>
      <c r="H25" s="37">
        <f t="shared" si="0"/>
        <v>287.31</v>
      </c>
      <c r="I25" s="61">
        <v>2</v>
      </c>
      <c r="J25" s="62"/>
      <c r="K25" s="32"/>
      <c r="Q25" s="62"/>
      <c r="R25" s="33"/>
    </row>
    <row r="26" spans="1:26" x14ac:dyDescent="0.25">
      <c r="A26" s="34" t="s">
        <v>50</v>
      </c>
      <c r="B26" s="57">
        <v>63.17</v>
      </c>
      <c r="C26" s="27">
        <f t="shared" si="1"/>
        <v>0</v>
      </c>
      <c r="D26" s="54">
        <v>1830</v>
      </c>
      <c r="F26" s="41"/>
      <c r="G26" s="55"/>
      <c r="H26" s="37">
        <f t="shared" si="0"/>
        <v>63.17</v>
      </c>
      <c r="I26" s="12">
        <v>2</v>
      </c>
      <c r="J26" s="13">
        <v>6500</v>
      </c>
      <c r="K26" s="32">
        <f>G7</f>
        <v>17280.3</v>
      </c>
      <c r="M26" s="5" t="s">
        <v>51</v>
      </c>
      <c r="O26" s="32"/>
      <c r="P26" s="5">
        <v>2</v>
      </c>
      <c r="Q26" s="13">
        <v>6500</v>
      </c>
      <c r="R26" s="33">
        <f>+K26*R6</f>
        <v>15552.27</v>
      </c>
      <c r="S26" s="32"/>
      <c r="X26" s="32"/>
    </row>
    <row r="27" spans="1:26" x14ac:dyDescent="0.25">
      <c r="A27" s="34" t="s">
        <v>52</v>
      </c>
      <c r="B27" s="57"/>
      <c r="C27" s="63">
        <f t="shared" si="1"/>
        <v>0</v>
      </c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64">
        <v>91.13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62.009999999999991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57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-7.2</v>
      </c>
      <c r="M29" s="39" t="s">
        <v>21</v>
      </c>
      <c r="P29" s="5">
        <v>2</v>
      </c>
      <c r="Q29" s="13">
        <v>6580</v>
      </c>
      <c r="R29" s="33">
        <f>+K29*R6</f>
        <v>-6.48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189.5</v>
      </c>
      <c r="M31" s="5" t="s">
        <v>25</v>
      </c>
      <c r="P31" s="5">
        <v>2</v>
      </c>
      <c r="Q31" s="13">
        <v>6570</v>
      </c>
      <c r="R31" s="33">
        <f>+K31*$R$6</f>
        <v>170.55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</f>
        <v>34601.380000000005</v>
      </c>
      <c r="C32" s="72">
        <f>B32-F32-G32-H32</f>
        <v>0</v>
      </c>
      <c r="D32" s="71"/>
      <c r="E32" s="71"/>
      <c r="F32" s="71">
        <f t="shared" ref="F32:H32" si="2">F7+F8+F10-F11-F12-F13-F14-F15-F16-F19-F29-F20-F26-F25-F28-F17-F21-F18-F23-F22-F24+F30+F31</f>
        <v>3667.33</v>
      </c>
      <c r="G32" s="71">
        <f t="shared" si="2"/>
        <v>17463.37</v>
      </c>
      <c r="H32" s="71">
        <f t="shared" si="2"/>
        <v>13470.680000000002</v>
      </c>
      <c r="I32" s="12">
        <v>2</v>
      </c>
      <c r="J32" s="13">
        <v>6571</v>
      </c>
      <c r="K32" s="32">
        <f>G55</f>
        <v>364.76</v>
      </c>
      <c r="M32" s="43" t="s">
        <v>27</v>
      </c>
      <c r="P32" s="5">
        <v>2</v>
      </c>
      <c r="Q32" s="13">
        <v>6571</v>
      </c>
      <c r="R32" s="33">
        <f>+K32*$R$6</f>
        <v>328.28399999999999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/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-19.82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-17.838000000000001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-1014.12</v>
      </c>
      <c r="M36" s="5" t="s">
        <v>36</v>
      </c>
      <c r="O36" s="1"/>
      <c r="P36" s="5">
        <v>2</v>
      </c>
      <c r="Q36" s="13">
        <v>1830</v>
      </c>
      <c r="R36" s="33">
        <f>+K36*$R$6</f>
        <v>-912.70799999999997</v>
      </c>
      <c r="S36" s="32"/>
    </row>
    <row r="37" spans="1:22" x14ac:dyDescent="0.25">
      <c r="A37" s="25" t="s">
        <v>66</v>
      </c>
      <c r="B37" s="80">
        <f>B11</f>
        <v>2698.33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2698.33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631.04999999999995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631.04999999999995</v>
      </c>
      <c r="I38" s="12">
        <v>2</v>
      </c>
      <c r="J38" s="13">
        <v>6300</v>
      </c>
      <c r="K38" s="84">
        <f>ROUND(G70,2)</f>
        <v>183.11</v>
      </c>
      <c r="M38" s="5" t="s">
        <v>40</v>
      </c>
      <c r="O38" s="1"/>
      <c r="P38" s="5">
        <v>2</v>
      </c>
      <c r="Q38" s="13">
        <v>6300</v>
      </c>
      <c r="R38" s="33">
        <f>+K38*$R$6</f>
        <v>164.79900000000001</v>
      </c>
      <c r="S38" s="32"/>
    </row>
    <row r="39" spans="1:22" x14ac:dyDescent="0.25">
      <c r="A39" s="34" t="s">
        <v>68</v>
      </c>
      <c r="B39" s="83">
        <f>B13</f>
        <v>3357.31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3357.31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1845.31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1845.31</v>
      </c>
      <c r="I40" s="85"/>
      <c r="J40" s="5">
        <v>2040</v>
      </c>
      <c r="K40" s="86">
        <f>SUM(K26:K39)</f>
        <v>16976.53</v>
      </c>
      <c r="N40" s="1">
        <v>2040</v>
      </c>
      <c r="O40" s="1"/>
      <c r="P40" s="5">
        <v>2</v>
      </c>
      <c r="Q40" s="5">
        <v>2040</v>
      </c>
      <c r="R40" s="86">
        <f>SUM(R26:R39)</f>
        <v>15278.877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2698.3</v>
      </c>
      <c r="C42" s="27">
        <f>B42-F42-G42-H42</f>
        <v>0</v>
      </c>
      <c r="D42" s="4">
        <v>6580</v>
      </c>
      <c r="F42" s="90">
        <v>146.44999999999999</v>
      </c>
      <c r="G42" s="90"/>
      <c r="H42" s="37">
        <f>B42-F42-G42</f>
        <v>2551.8500000000004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631.09</v>
      </c>
      <c r="C43" s="27">
        <f>B43-F43-G43-H43</f>
        <v>0</v>
      </c>
      <c r="D43" s="4">
        <v>6580</v>
      </c>
      <c r="F43" s="90">
        <v>34.25</v>
      </c>
      <c r="G43" s="90"/>
      <c r="H43" s="37">
        <f>B43-F43-G43</f>
        <v>596.84</v>
      </c>
      <c r="I43" s="12">
        <v>3</v>
      </c>
      <c r="J43" s="13">
        <v>6500</v>
      </c>
      <c r="K43" s="92">
        <f>F7</f>
        <v>3907.7</v>
      </c>
      <c r="M43" s="5" t="s">
        <v>71</v>
      </c>
      <c r="O43" s="1"/>
      <c r="P43" s="5">
        <v>3</v>
      </c>
      <c r="Q43" s="13">
        <v>6500</v>
      </c>
      <c r="R43" s="33">
        <f>+K43*$R$6</f>
        <v>3516.93</v>
      </c>
      <c r="S43" s="32"/>
    </row>
    <row r="44" spans="1:22" x14ac:dyDescent="0.25">
      <c r="A44" s="34" t="s">
        <v>72</v>
      </c>
      <c r="B44" s="89">
        <v>29.99</v>
      </c>
      <c r="C44" s="27">
        <f>B44-F44-G44-H44</f>
        <v>0</v>
      </c>
      <c r="D44" s="4">
        <v>6580</v>
      </c>
      <c r="F44" s="90"/>
      <c r="G44" s="91"/>
      <c r="H44" s="37">
        <f>B44-G44-F44</f>
        <v>29.99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250.6</v>
      </c>
      <c r="C45" s="27">
        <f>B45-F45-G45-H45</f>
        <v>0</v>
      </c>
      <c r="D45" s="4">
        <v>6580</v>
      </c>
      <c r="F45" s="90"/>
      <c r="G45" s="94"/>
      <c r="H45" s="37">
        <f>B45-G45-F45</f>
        <v>250.6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10.88</v>
      </c>
      <c r="C46" s="27">
        <f>B46-F46-G46-H46</f>
        <v>0</v>
      </c>
      <c r="F46" s="96"/>
      <c r="G46" s="96"/>
      <c r="H46" s="37">
        <f>B46-G46-F46</f>
        <v>10.88</v>
      </c>
      <c r="I46" s="12">
        <v>3</v>
      </c>
      <c r="J46" s="13">
        <v>6580</v>
      </c>
      <c r="K46" s="32">
        <f>ROUND($F$42+$F$43+$F$44+$F$45-$F$15+$F$46,2)</f>
        <v>179.5</v>
      </c>
      <c r="M46" s="39" t="s">
        <v>21</v>
      </c>
      <c r="O46" s="1"/>
      <c r="P46" s="5">
        <v>3</v>
      </c>
      <c r="Q46" s="13">
        <v>6580</v>
      </c>
      <c r="R46" s="33">
        <f>+K46*$R$6</f>
        <v>161.55000000000001</v>
      </c>
      <c r="S46" s="32"/>
    </row>
    <row r="47" spans="1:22" ht="18.75" thickBot="1" x14ac:dyDescent="0.3">
      <c r="B47" s="97">
        <f>SUM(B42:B46)</f>
        <v>3620.86</v>
      </c>
      <c r="C47" s="27">
        <f>B48-F47-G47-H47</f>
        <v>0</v>
      </c>
      <c r="D47" s="7"/>
      <c r="E47" s="1"/>
      <c r="F47" s="97">
        <f>SUM(F37:F46)</f>
        <v>180.7</v>
      </c>
      <c r="G47" s="97">
        <f>SUM(G37:G46)</f>
        <v>0</v>
      </c>
      <c r="H47" s="71">
        <f>SUM(H37:H46)</f>
        <v>11972.16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12152.859999999999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61.04</v>
      </c>
      <c r="M48" s="5" t="s">
        <v>40</v>
      </c>
      <c r="O48" s="1"/>
      <c r="P48" s="5">
        <v>3</v>
      </c>
      <c r="Q48" s="13">
        <v>6300</v>
      </c>
      <c r="R48" s="33">
        <f>+K48*$R$6</f>
        <v>54.936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-3.77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-3.3930000000000002</v>
      </c>
      <c r="S50" s="32"/>
    </row>
    <row r="51" spans="1:23" x14ac:dyDescent="0.25">
      <c r="A51" s="25" t="s">
        <v>78</v>
      </c>
      <c r="B51" s="80">
        <f>B23</f>
        <v>2003.84</v>
      </c>
      <c r="C51" s="106"/>
      <c r="D51" s="28">
        <v>6570</v>
      </c>
      <c r="E51" s="29"/>
      <c r="F51" s="81">
        <f>F23</f>
        <v>172.48</v>
      </c>
      <c r="G51" s="107">
        <f>G23</f>
        <v>611.75</v>
      </c>
      <c r="H51" s="31">
        <f>B51-G51-F51</f>
        <v>1219.6099999999999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692.31</v>
      </c>
      <c r="C52" s="27"/>
      <c r="F52" s="6">
        <f>F22</f>
        <v>0</v>
      </c>
      <c r="G52" s="88">
        <f>G22</f>
        <v>0</v>
      </c>
      <c r="H52" s="37">
        <f>B52-F52-G52</f>
        <v>692.31</v>
      </c>
      <c r="I52" s="12">
        <v>3</v>
      </c>
      <c r="J52" s="13">
        <v>6570</v>
      </c>
      <c r="K52" s="32">
        <f>-$F$23+$F$51+$F$58</f>
        <v>63.17</v>
      </c>
      <c r="M52" s="5" t="s">
        <v>25</v>
      </c>
      <c r="O52" s="1"/>
      <c r="P52" s="5">
        <v>3</v>
      </c>
      <c r="Q52" s="13">
        <v>6570</v>
      </c>
      <c r="R52" s="33">
        <f>+K52</f>
        <v>63.17</v>
      </c>
      <c r="S52" s="32"/>
    </row>
    <row r="53" spans="1:23" x14ac:dyDescent="0.25">
      <c r="A53" s="34" t="s">
        <v>60</v>
      </c>
      <c r="B53" s="108">
        <f>SUM(B51:B52)</f>
        <v>2696.1499999999996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1487.84</v>
      </c>
      <c r="C55" s="111"/>
      <c r="D55" s="4">
        <v>6571</v>
      </c>
      <c r="F55" s="90">
        <v>98.56</v>
      </c>
      <c r="G55" s="90">
        <v>364.76</v>
      </c>
      <c r="H55" s="37">
        <f>B55-F55-G55</f>
        <v>1024.52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1648.62</v>
      </c>
      <c r="C56" s="111"/>
      <c r="D56" s="4">
        <v>6571</v>
      </c>
      <c r="F56" s="93"/>
      <c r="G56" s="93"/>
      <c r="H56" s="37">
        <f>B56-F56-G56</f>
        <v>1648.62</v>
      </c>
      <c r="I56" s="12"/>
      <c r="J56" s="13"/>
      <c r="K56" s="86">
        <f>SUM(K43:K55)</f>
        <v>4295.45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3891.7530000000002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631.66999999999996</v>
      </c>
      <c r="C58" s="111"/>
      <c r="D58" s="4">
        <v>6570</v>
      </c>
      <c r="F58" s="88">
        <f>ROUND(B58*10%,2)</f>
        <v>63.17</v>
      </c>
      <c r="G58" s="88">
        <f>ROUND(B58*30%,2)</f>
        <v>189.5</v>
      </c>
      <c r="H58" s="37">
        <f>ROUND(B58-F58-G58,2)</f>
        <v>379</v>
      </c>
      <c r="I58" s="52">
        <v>1</v>
      </c>
      <c r="J58" s="10">
        <v>1012</v>
      </c>
      <c r="K58" s="113">
        <f>-(K23+K40+K56+K74+K84+K90)-K59</f>
        <v>-53064.81</v>
      </c>
      <c r="M58" s="1"/>
      <c r="N58" s="32">
        <f>+'[3]1012-CNB Checking'!$F$117</f>
        <v>53064.81</v>
      </c>
      <c r="O58" s="114">
        <f>+K58+N58</f>
        <v>0</v>
      </c>
      <c r="P58" s="32"/>
      <c r="R58" s="33"/>
    </row>
    <row r="59" spans="1:23" ht="18.75" thickTop="1" x14ac:dyDescent="0.25">
      <c r="A59" s="34" t="s">
        <v>48</v>
      </c>
      <c r="B59" s="83">
        <f>B24</f>
        <v>495.3</v>
      </c>
      <c r="C59" s="27"/>
      <c r="F59" s="88">
        <f>F24</f>
        <v>0</v>
      </c>
      <c r="G59" s="88">
        <f>G24</f>
        <v>123.58</v>
      </c>
      <c r="H59" s="37">
        <f>B59-F59-G59</f>
        <v>371.72</v>
      </c>
      <c r="I59" s="52">
        <v>1</v>
      </c>
      <c r="J59" s="10"/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389.23</v>
      </c>
      <c r="C60" s="27"/>
      <c r="F60" s="88">
        <f>F25</f>
        <v>101.92</v>
      </c>
      <c r="G60" s="88">
        <f>G25</f>
        <v>0</v>
      </c>
      <c r="H60" s="37">
        <f>B60-F60-G60</f>
        <v>287.31</v>
      </c>
      <c r="I60" s="115" t="s">
        <v>85</v>
      </c>
      <c r="K60" s="32"/>
      <c r="O60" s="1"/>
      <c r="R60" s="33"/>
    </row>
    <row r="61" spans="1:23" ht="18.75" thickBot="1" x14ac:dyDescent="0.3">
      <c r="A61" s="34" t="s">
        <v>60</v>
      </c>
      <c r="B61" s="116">
        <f>B53+B59+B60+B55+B58+B57</f>
        <v>5700.19</v>
      </c>
      <c r="C61" s="117"/>
      <c r="D61" s="7"/>
      <c r="E61" s="1"/>
      <c r="F61" s="71">
        <f>F51+F55</f>
        <v>271.03999999999996</v>
      </c>
      <c r="G61" s="71">
        <f>G51+G55</f>
        <v>976.51</v>
      </c>
      <c r="H61" s="118">
        <f>B61-G61</f>
        <v>4723.6799999999994</v>
      </c>
      <c r="I61" s="115">
        <v>1</v>
      </c>
      <c r="J61" s="119">
        <v>1831</v>
      </c>
      <c r="K61" s="120"/>
      <c r="M61" s="5" t="s">
        <v>42</v>
      </c>
      <c r="O61" s="121"/>
      <c r="P61" s="5">
        <v>1</v>
      </c>
      <c r="Q61" s="5">
        <v>1831</v>
      </c>
      <c r="R61" s="3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/>
      <c r="M62" s="5" t="s">
        <v>86</v>
      </c>
      <c r="O62" s="1"/>
      <c r="P62" s="5">
        <v>1</v>
      </c>
      <c r="Q62" s="5">
        <v>6551</v>
      </c>
      <c r="R62" s="3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5">
        <v>1</v>
      </c>
      <c r="Q63" s="5">
        <v>6551</v>
      </c>
      <c r="R63" s="3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5">
        <v>1</v>
      </c>
      <c r="Q64" s="5">
        <v>6630</v>
      </c>
      <c r="R64" s="3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>
        <f>11.54+23.08</f>
        <v>34.619999999999997</v>
      </c>
      <c r="M65" s="5" t="s">
        <v>90</v>
      </c>
      <c r="O65" s="1"/>
      <c r="P65" s="5">
        <v>1</v>
      </c>
      <c r="Q65" s="5">
        <v>6630</v>
      </c>
      <c r="R65" s="3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3176.26-1948</f>
        <v>1228.2600000000002</v>
      </c>
      <c r="M66" s="5" t="s">
        <v>91</v>
      </c>
      <c r="O66" s="1"/>
      <c r="P66" s="5">
        <v>1</v>
      </c>
      <c r="Q66" s="5">
        <v>6565</v>
      </c>
      <c r="R66" s="3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5">
        <v>1</v>
      </c>
      <c r="Q67" s="5">
        <v>6560</v>
      </c>
      <c r="R67" s="33"/>
      <c r="S67" s="32"/>
    </row>
    <row r="68" spans="1:20" x14ac:dyDescent="0.25">
      <c r="F68" s="6"/>
      <c r="I68" s="85"/>
      <c r="K68" s="120"/>
      <c r="O68" s="1"/>
      <c r="R68" s="33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33"/>
    </row>
    <row r="70" spans="1:20" x14ac:dyDescent="0.25">
      <c r="A70" s="25" t="s">
        <v>94</v>
      </c>
      <c r="B70" s="26">
        <f>608.26+2.12</f>
        <v>610.38</v>
      </c>
      <c r="C70" s="106"/>
      <c r="D70" s="28">
        <v>6300</v>
      </c>
      <c r="E70" s="29"/>
      <c r="F70" s="81">
        <f>B70*F69</f>
        <v>61.038000000000004</v>
      </c>
      <c r="G70" s="107">
        <f>B70*G69</f>
        <v>183.114</v>
      </c>
      <c r="H70" s="31">
        <f>B70*H69-0</f>
        <v>366.22800000000001</v>
      </c>
      <c r="I70" s="85"/>
      <c r="K70" s="120"/>
      <c r="O70" s="1"/>
      <c r="R70" s="33"/>
      <c r="T70" s="32"/>
    </row>
    <row r="71" spans="1:20" ht="21" thickBot="1" x14ac:dyDescent="0.35">
      <c r="A71" s="34" t="s">
        <v>60</v>
      </c>
      <c r="B71" s="116">
        <f>SUM(B70)</f>
        <v>610.38</v>
      </c>
      <c r="C71" s="117"/>
      <c r="D71" s="7"/>
      <c r="E71" s="1"/>
      <c r="F71" s="71">
        <f>F70</f>
        <v>61.038000000000004</v>
      </c>
      <c r="G71" s="71">
        <f>G70</f>
        <v>183.114</v>
      </c>
      <c r="H71" s="118">
        <f>H70</f>
        <v>366.22800000000001</v>
      </c>
      <c r="I71" s="85"/>
      <c r="J71" s="85"/>
      <c r="K71" s="120"/>
      <c r="M71" s="125"/>
      <c r="O71" s="1"/>
      <c r="R71" s="33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33"/>
    </row>
    <row r="73" spans="1:20" ht="18.75" thickBot="1" x14ac:dyDescent="0.3">
      <c r="F73" s="6"/>
      <c r="I73" s="85"/>
      <c r="K73" s="127"/>
      <c r="O73" s="1"/>
      <c r="R73" s="33"/>
    </row>
    <row r="74" spans="1:20" ht="18.75" thickBot="1" x14ac:dyDescent="0.3">
      <c r="A74" s="1" t="s">
        <v>96</v>
      </c>
      <c r="B74" s="128">
        <f>ROUND((B71+B66+B61+B48+B32),2)</f>
        <v>53064.81</v>
      </c>
      <c r="F74" s="6"/>
      <c r="I74" s="85" t="s">
        <v>97</v>
      </c>
      <c r="K74" s="129">
        <f>SUM(K61:K73)</f>
        <v>1262.8800000000001</v>
      </c>
      <c r="O74" s="1"/>
      <c r="R74" s="33"/>
    </row>
    <row r="75" spans="1:20" ht="18.75" thickBot="1" x14ac:dyDescent="0.3">
      <c r="F75" s="6"/>
      <c r="I75" s="85">
        <v>2</v>
      </c>
      <c r="J75" s="119" t="s">
        <v>98</v>
      </c>
      <c r="K75" s="120"/>
      <c r="M75" s="5" t="s">
        <v>86</v>
      </c>
      <c r="O75" s="1"/>
      <c r="P75" s="5">
        <v>2</v>
      </c>
      <c r="Q75" s="119">
        <v>6551</v>
      </c>
      <c r="R75" s="33"/>
      <c r="S75" s="32"/>
    </row>
    <row r="76" spans="1:20" x14ac:dyDescent="0.25">
      <c r="A76" s="129" t="s">
        <v>99</v>
      </c>
      <c r="B76" s="26">
        <v>32952.76</v>
      </c>
      <c r="C76" s="130"/>
      <c r="D76" s="131" t="s">
        <v>100</v>
      </c>
      <c r="E76" s="6"/>
      <c r="F76" s="6"/>
      <c r="G76" s="132"/>
      <c r="H76" s="6"/>
      <c r="I76" s="85">
        <v>2</v>
      </c>
      <c r="J76" s="119">
        <v>1831</v>
      </c>
      <c r="K76" s="120"/>
      <c r="M76" s="5" t="s">
        <v>42</v>
      </c>
      <c r="O76" s="1"/>
      <c r="P76" s="5">
        <v>2</v>
      </c>
      <c r="Q76" s="119">
        <v>6551</v>
      </c>
      <c r="R76" s="3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5">
        <v>2</v>
      </c>
      <c r="Q77" s="5">
        <v>6630</v>
      </c>
      <c r="R77" s="3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5">
        <v>2</v>
      </c>
      <c r="Q78" s="5">
        <v>6630</v>
      </c>
      <c r="R78" s="33"/>
      <c r="S78" s="32"/>
    </row>
    <row r="79" spans="1:20" ht="18.75" thickBot="1" x14ac:dyDescent="0.3">
      <c r="A79" s="134" t="s">
        <v>104</v>
      </c>
      <c r="B79" s="135">
        <f>ROUND(SUM(B76:B78),2)</f>
        <v>32952.76</v>
      </c>
      <c r="C79" s="130"/>
      <c r="D79" s="131"/>
      <c r="E79" s="6"/>
      <c r="F79" s="6"/>
      <c r="G79" s="129">
        <f>SUM(G76:G78)</f>
        <v>0</v>
      </c>
      <c r="H79" s="6" t="s">
        <v>105</v>
      </c>
      <c r="I79" s="85">
        <v>2</v>
      </c>
      <c r="J79" s="5">
        <v>6551</v>
      </c>
      <c r="K79" s="120">
        <v>1948</v>
      </c>
      <c r="M79" s="5" t="s">
        <v>91</v>
      </c>
      <c r="O79" s="1"/>
      <c r="P79" s="5">
        <v>2</v>
      </c>
      <c r="Q79" s="5">
        <v>6565</v>
      </c>
      <c r="R79" s="33"/>
      <c r="S79" s="32"/>
    </row>
    <row r="80" spans="1:20" ht="18.75" thickBot="1" x14ac:dyDescent="0.3">
      <c r="A80" s="1" t="s">
        <v>106</v>
      </c>
      <c r="B80" s="26">
        <v>52454.43</v>
      </c>
      <c r="H80" s="128" t="str">
        <f>IF(B79-G79=0,"ok","NO")</f>
        <v>NO</v>
      </c>
      <c r="I80" s="85">
        <v>2</v>
      </c>
      <c r="J80" s="5">
        <v>6040</v>
      </c>
      <c r="K80" s="120"/>
      <c r="M80" s="5" t="s">
        <v>131</v>
      </c>
      <c r="O80" s="1"/>
      <c r="P80" s="5">
        <v>2</v>
      </c>
      <c r="Q80" s="119" t="s">
        <v>107</v>
      </c>
      <c r="R80" s="33"/>
      <c r="S80" s="32"/>
    </row>
    <row r="81" spans="1:19" ht="18.75" thickBot="1" x14ac:dyDescent="0.3">
      <c r="A81" s="1" t="s">
        <v>94</v>
      </c>
      <c r="B81" s="3">
        <f>B66+B71</f>
        <v>610.38</v>
      </c>
      <c r="C81" s="1" t="s">
        <v>108</v>
      </c>
      <c r="G81" s="32">
        <f>+G79-B76</f>
        <v>-32952.76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33"/>
      <c r="S81" s="32"/>
    </row>
    <row r="82" spans="1:19" ht="18.75" thickBot="1" x14ac:dyDescent="0.3">
      <c r="B82" s="3">
        <f>+B80+B81</f>
        <v>53064.81</v>
      </c>
      <c r="C82" s="128" t="str">
        <f>IF(B74=B82,"ok","NO")</f>
        <v>ok</v>
      </c>
      <c r="F82" s="136"/>
      <c r="I82" s="85"/>
      <c r="J82" s="119"/>
      <c r="K82" s="127"/>
      <c r="O82" s="1"/>
      <c r="R82" s="33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</row>
    <row r="84" spans="1:19" x14ac:dyDescent="0.25">
      <c r="G84" s="32"/>
      <c r="I84" s="85"/>
      <c r="K84" s="129">
        <f>SUM(K75:K83)</f>
        <v>1959.54</v>
      </c>
      <c r="O84" s="1"/>
      <c r="P84" s="5">
        <v>3</v>
      </c>
      <c r="Q84" s="5">
        <v>6551</v>
      </c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5"/>
      <c r="S85" s="32"/>
    </row>
    <row r="86" spans="1:19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5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>
        <v>49.75</v>
      </c>
      <c r="L87" s="5"/>
      <c r="M87" s="5" t="s">
        <v>89</v>
      </c>
      <c r="N87" s="5"/>
      <c r="O87" s="1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112</v>
      </c>
      <c r="N88" s="5"/>
      <c r="O88" s="1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</row>
    <row r="90" spans="1:19" x14ac:dyDescent="0.25">
      <c r="A90" s="5"/>
      <c r="B90" s="5"/>
      <c r="C90" s="5"/>
      <c r="D90" s="5"/>
      <c r="I90" s="85"/>
      <c r="K90" s="129">
        <f>SUM(K86:K89)</f>
        <v>49.75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3272.17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7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EBAEA-1A76-45A3-9648-F00C72DDDC8D}">
  <sheetPr>
    <tabColor rgb="FF00B0F0"/>
    <pageSetUpPr fitToPage="1"/>
  </sheetPr>
  <dimension ref="A2:Y100"/>
  <sheetViews>
    <sheetView topLeftCell="A37" zoomScale="70" zoomScaleNormal="70" zoomScalePageLayoutView="70" workbookViewId="0">
      <selection activeCell="I26" sqref="I26:K39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1.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32" width="10.5" style="5"/>
    <col min="33" max="33" width="19.75" style="5" bestFit="1" customWidth="1"/>
    <col min="34" max="16384" width="10.5" style="5"/>
  </cols>
  <sheetData>
    <row r="2" spans="1:24" ht="18.75" thickBot="1" x14ac:dyDescent="0.3">
      <c r="B2" s="142"/>
      <c r="F2" s="6"/>
      <c r="H2" s="7" t="s">
        <v>0</v>
      </c>
      <c r="J2" s="8">
        <v>39894</v>
      </c>
      <c r="K2" s="9"/>
      <c r="M2" s="5" t="s">
        <v>1</v>
      </c>
    </row>
    <row r="3" spans="1:24" ht="18.75" thickBot="1" x14ac:dyDescent="0.3">
      <c r="A3" s="10" t="s">
        <v>2</v>
      </c>
      <c r="B3" s="8">
        <v>43524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B6" s="74"/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/>
      <c r="C7" s="27"/>
      <c r="D7" s="28"/>
      <c r="E7" s="29"/>
      <c r="F7" s="30"/>
      <c r="G7" s="146"/>
      <c r="H7" s="37">
        <f t="shared" ref="H7:H32" si="0">B7-F7-G7</f>
        <v>0</v>
      </c>
      <c r="I7" s="12">
        <v>1</v>
      </c>
      <c r="J7" s="13">
        <v>6510</v>
      </c>
      <c r="K7" s="32">
        <f>+H7</f>
        <v>0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>
        <v>4842.5200000000004</v>
      </c>
      <c r="C8" s="27"/>
      <c r="F8" s="127"/>
      <c r="G8" s="36">
        <v>4842.5200000000004</v>
      </c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/>
      <c r="C9" s="27"/>
      <c r="D9" s="4">
        <v>6500</v>
      </c>
      <c r="F9" s="127"/>
      <c r="G9" s="36"/>
      <c r="H9" s="37">
        <f t="shared" si="0"/>
        <v>0</v>
      </c>
      <c r="I9" s="12">
        <v>1</v>
      </c>
      <c r="J9" s="13">
        <v>6500</v>
      </c>
      <c r="K9" s="32">
        <f>+H9</f>
        <v>0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27"/>
      <c r="F10" s="148"/>
      <c r="G10" s="148"/>
      <c r="H10" s="37">
        <f t="shared" si="0"/>
        <v>0</v>
      </c>
      <c r="I10" s="12">
        <v>1</v>
      </c>
      <c r="J10" s="13">
        <v>6580</v>
      </c>
      <c r="K10" s="32">
        <f>ROUND(H43+H44+H45+H46-H16+H47,2)</f>
        <v>0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27"/>
      <c r="F11" s="150"/>
      <c r="G11" s="150"/>
      <c r="H11" s="37">
        <f t="shared" si="0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300.24</v>
      </c>
      <c r="C12" s="27"/>
      <c r="F12" s="41"/>
      <c r="G12" s="41">
        <v>300.24</v>
      </c>
      <c r="H12" s="37">
        <f>B12-F12-G12</f>
        <v>0</v>
      </c>
      <c r="I12" s="12">
        <v>1</v>
      </c>
      <c r="J12" s="13">
        <v>6570</v>
      </c>
      <c r="K12" s="32">
        <f>-H24+H52+H59</f>
        <v>0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70.209999999999994</v>
      </c>
      <c r="C13" s="27"/>
      <c r="F13" s="41"/>
      <c r="G13" s="41">
        <v>70.209999999999994</v>
      </c>
      <c r="H13" s="37">
        <f t="shared" si="0"/>
        <v>0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>
        <v>490.63</v>
      </c>
      <c r="C14" s="27"/>
      <c r="F14" s="41"/>
      <c r="G14" s="41">
        <v>490.63</v>
      </c>
      <c r="H14" s="37">
        <f t="shared" si="0"/>
        <v>0</v>
      </c>
      <c r="I14" s="12">
        <v>1</v>
      </c>
      <c r="J14" s="13">
        <v>6571</v>
      </c>
      <c r="K14" s="32">
        <f>+H56</f>
        <v>0</v>
      </c>
      <c r="L14" s="145"/>
      <c r="M14" s="5" t="s">
        <v>61</v>
      </c>
      <c r="P14" s="1"/>
    </row>
    <row r="15" spans="1:24" x14ac:dyDescent="0.25">
      <c r="A15" s="34" t="s">
        <v>28</v>
      </c>
      <c r="B15" s="151">
        <v>248.61</v>
      </c>
      <c r="C15" s="27"/>
      <c r="F15" s="41"/>
      <c r="G15" s="41">
        <v>248.61</v>
      </c>
      <c r="H15" s="37">
        <f t="shared" si="0"/>
        <v>0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>
        <v>1.2</v>
      </c>
      <c r="C16" s="27"/>
      <c r="F16" s="152"/>
      <c r="G16" s="44">
        <v>1.2</v>
      </c>
      <c r="H16" s="37">
        <f t="shared" si="0"/>
        <v>0</v>
      </c>
      <c r="I16" s="52">
        <v>1</v>
      </c>
      <c r="J16" s="10">
        <v>2120</v>
      </c>
      <c r="K16" s="21">
        <f>-H17</f>
        <v>0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1">SUM(R7:R15)</f>
        <v>779.02</v>
      </c>
      <c r="S16" s="154">
        <f t="shared" si="1"/>
        <v>944.95</v>
      </c>
      <c r="T16" s="154">
        <f t="shared" si="1"/>
        <v>348.52</v>
      </c>
      <c r="U16" s="154">
        <f t="shared" si="1"/>
        <v>1512.56</v>
      </c>
      <c r="V16" s="154">
        <f t="shared" si="1"/>
        <v>670.31999999999994</v>
      </c>
      <c r="W16" s="154">
        <f t="shared" si="1"/>
        <v>4475.92</v>
      </c>
      <c r="X16" s="154">
        <f t="shared" si="1"/>
        <v>1797.86</v>
      </c>
    </row>
    <row r="17" spans="1:25" ht="19.5" thickTop="1" thickBot="1" x14ac:dyDescent="0.3">
      <c r="A17" s="34" t="s">
        <v>33</v>
      </c>
      <c r="B17" s="151">
        <v>7.41</v>
      </c>
      <c r="C17" s="27"/>
      <c r="F17" s="152"/>
      <c r="G17" s="44">
        <v>7.41</v>
      </c>
      <c r="H17" s="37">
        <f t="shared" si="0"/>
        <v>0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27"/>
      <c r="D18" s="54"/>
      <c r="E18" s="5"/>
      <c r="F18" s="41"/>
      <c r="G18" s="55"/>
      <c r="H18" s="37">
        <f t="shared" si="0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27"/>
      <c r="D19" s="54"/>
      <c r="E19" s="5"/>
      <c r="F19" s="41"/>
      <c r="G19" s="44"/>
      <c r="H19" s="37">
        <f t="shared" si="0"/>
        <v>0</v>
      </c>
      <c r="I19" s="12">
        <v>1</v>
      </c>
      <c r="J19" s="13">
        <v>6300</v>
      </c>
      <c r="K19" s="82">
        <f>ROUND(H72,2)</f>
        <v>0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27"/>
      <c r="D20" s="4"/>
      <c r="E20" s="5"/>
      <c r="F20" s="41"/>
      <c r="G20" s="55"/>
      <c r="H20" s="37">
        <f t="shared" si="0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27"/>
      <c r="D21" s="4"/>
      <c r="E21" s="5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27"/>
      <c r="D22" s="54"/>
      <c r="E22" s="5"/>
      <c r="F22" s="41"/>
      <c r="G22" s="44"/>
      <c r="H22" s="37">
        <f t="shared" si="0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27"/>
      <c r="D23" s="4"/>
      <c r="E23" s="5"/>
      <c r="F23" s="41"/>
      <c r="G23" s="55"/>
      <c r="H23" s="37">
        <f t="shared" si="0"/>
        <v>0</v>
      </c>
      <c r="I23" s="12"/>
      <c r="J23" s="13"/>
      <c r="K23" s="59">
        <f>SUM(K7:K22)</f>
        <v>0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>
        <v>387.4</v>
      </c>
      <c r="C24" s="27"/>
      <c r="D24" s="4"/>
      <c r="E24" s="5"/>
      <c r="F24" s="44"/>
      <c r="G24" s="44">
        <v>387.4</v>
      </c>
      <c r="H24" s="37">
        <f t="shared" si="0"/>
        <v>0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27"/>
      <c r="D25" s="4"/>
      <c r="E25" s="5"/>
      <c r="F25" s="41"/>
      <c r="G25" s="44"/>
      <c r="H25" s="37">
        <f t="shared" si="0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27"/>
      <c r="D26" s="4"/>
      <c r="E26" s="5"/>
      <c r="F26" s="44"/>
      <c r="G26" s="44"/>
      <c r="H26" s="37">
        <f t="shared" si="0"/>
        <v>0</v>
      </c>
      <c r="I26" s="12">
        <v>2</v>
      </c>
      <c r="J26" s="13">
        <v>6510</v>
      </c>
      <c r="K26" s="32">
        <f>+G7</f>
        <v>0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27"/>
      <c r="D27" s="54"/>
      <c r="E27" s="5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4842.5200000000004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63"/>
      <c r="D28" s="4"/>
      <c r="E28" s="5"/>
      <c r="F28" s="41"/>
      <c r="G28" s="55"/>
      <c r="H28" s="37">
        <f t="shared" si="0"/>
        <v>0</v>
      </c>
      <c r="I28" s="12">
        <v>2</v>
      </c>
      <c r="J28" s="13">
        <v>6500</v>
      </c>
      <c r="K28" s="32">
        <f>+G9</f>
        <v>0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27"/>
      <c r="D29" s="54"/>
      <c r="E29" s="5"/>
      <c r="F29" s="41"/>
      <c r="G29" s="44"/>
      <c r="H29" s="37">
        <f t="shared" si="0"/>
        <v>0</v>
      </c>
      <c r="I29" s="12">
        <v>2</v>
      </c>
      <c r="J29" s="13">
        <v>6580</v>
      </c>
      <c r="K29" s="32">
        <f>-G16+G43+G44+G45+G46+G47</f>
        <v>369.26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65"/>
      <c r="D30" s="54"/>
      <c r="E30" s="5"/>
      <c r="F30" s="66"/>
      <c r="G30" s="67"/>
      <c r="H30" s="37">
        <f t="shared" si="0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27"/>
      <c r="D31" s="4"/>
      <c r="E31" s="5"/>
      <c r="F31" s="68"/>
      <c r="G31" s="67"/>
      <c r="H31" s="37">
        <f t="shared" si="0"/>
        <v>0</v>
      </c>
      <c r="I31" s="12">
        <v>2</v>
      </c>
      <c r="J31" s="13">
        <v>6570</v>
      </c>
      <c r="K31" s="32">
        <f>-G24+G52+G59</f>
        <v>16.579999999999998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27">
        <f t="shared" ref="C32" si="2">B32-F32-G32-H32</f>
        <v>0</v>
      </c>
      <c r="D32" s="4">
        <v>6500</v>
      </c>
      <c r="E32" s="5"/>
      <c r="F32" s="69"/>
      <c r="G32" s="70"/>
      <c r="H32" s="37">
        <f t="shared" si="0"/>
        <v>0</v>
      </c>
      <c r="I32" s="12">
        <v>2</v>
      </c>
      <c r="J32" s="13">
        <v>6571</v>
      </c>
      <c r="K32" s="32">
        <f>G56</f>
        <v>193.71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3336.8200000000006</v>
      </c>
      <c r="C33" s="72">
        <f>B33-F33-G33-H33</f>
        <v>-7.4099999999998545</v>
      </c>
      <c r="D33" s="71"/>
      <c r="E33" s="71"/>
      <c r="F33" s="71">
        <f>F7+F8+F10+F11-F12-F13-F14-F15-F16-F30-F21-F27-F26-F29-F18-F22-F19-F24-F23-F25+F31+F32</f>
        <v>0</v>
      </c>
      <c r="G33" s="71">
        <f>G7+G8+G10+G11-G12-G13-G14-G15-G16-G30-G21-G27-G26-G29-G18-G22-G19-G24-G23-G25+G31+G32</f>
        <v>3344.2300000000005</v>
      </c>
      <c r="H33" s="71">
        <f>H7+H8+H10+H11-H12-H13-H14-H15-H16-H30-H21-H27-H26-H29-H18-H22-H19-H24-H23-H25+H31+H32-H20-H28</f>
        <v>0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-7.41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300.24</v>
      </c>
      <c r="C38" s="27">
        <f>B38-F38-G38-H38</f>
        <v>0</v>
      </c>
      <c r="D38" s="28">
        <v>2100</v>
      </c>
      <c r="E38" s="29"/>
      <c r="F38" s="81">
        <v>0</v>
      </c>
      <c r="G38" s="80">
        <v>0</v>
      </c>
      <c r="H38" s="31">
        <f>B38-G38-F38</f>
        <v>300.24</v>
      </c>
      <c r="I38" s="12">
        <v>2</v>
      </c>
      <c r="J38" s="13">
        <v>6300</v>
      </c>
      <c r="K38" s="84">
        <f>ROUND(G72,2)</f>
        <v>0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70.209999999999994</v>
      </c>
      <c r="C39" s="27">
        <f>B39-F39-G39-H39</f>
        <v>0</v>
      </c>
      <c r="D39" s="4">
        <v>2100</v>
      </c>
      <c r="E39" s="5"/>
      <c r="F39" s="6">
        <v>0</v>
      </c>
      <c r="G39" s="83">
        <v>0</v>
      </c>
      <c r="H39" s="37">
        <f>B39-G39-F39</f>
        <v>70.209999999999994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490.63</v>
      </c>
      <c r="C40" s="27">
        <f>B40-F40-G40-H40</f>
        <v>0</v>
      </c>
      <c r="D40" s="4">
        <v>2110</v>
      </c>
      <c r="E40" s="5"/>
      <c r="F40" s="6">
        <v>0</v>
      </c>
      <c r="G40" s="83">
        <v>0</v>
      </c>
      <c r="H40" s="37">
        <f>B40-G40-F40</f>
        <v>490.63</v>
      </c>
      <c r="I40" s="85"/>
      <c r="J40" s="5"/>
      <c r="K40" s="86">
        <f>SUM(K26:K39)</f>
        <v>5414.6600000000008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248.61</v>
      </c>
      <c r="C41" s="27">
        <f>B41-F41-G41-H41</f>
        <v>0</v>
      </c>
      <c r="D41" s="4">
        <v>2120</v>
      </c>
      <c r="E41" s="5"/>
      <c r="F41" s="6">
        <v>0</v>
      </c>
      <c r="G41" s="83">
        <v>0</v>
      </c>
      <c r="H41" s="37">
        <f>B41-G41-F41</f>
        <v>248.61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300.24</v>
      </c>
      <c r="C43" s="27">
        <f>B43-F43-G43-H43</f>
        <v>0</v>
      </c>
      <c r="D43" s="4">
        <v>6580</v>
      </c>
      <c r="E43" s="5"/>
      <c r="F43" s="90"/>
      <c r="G43" s="90">
        <v>300.24</v>
      </c>
      <c r="H43" s="37">
        <f>B43-F43-G43</f>
        <v>0</v>
      </c>
      <c r="I43" s="12">
        <v>3</v>
      </c>
      <c r="J43" s="13">
        <v>6510</v>
      </c>
      <c r="K43" s="92">
        <f>+F7</f>
        <v>0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70.22</v>
      </c>
      <c r="C44" s="27">
        <f>B44-F44-G44-H44</f>
        <v>0</v>
      </c>
      <c r="D44" s="4">
        <v>6580</v>
      </c>
      <c r="E44" s="5"/>
      <c r="F44" s="90"/>
      <c r="G44" s="90">
        <v>70.22</v>
      </c>
      <c r="H44" s="37">
        <f>B44-F44-G44</f>
        <v>0</v>
      </c>
      <c r="I44" s="12">
        <v>3</v>
      </c>
      <c r="J44" s="13">
        <v>6505</v>
      </c>
      <c r="K44" s="92">
        <f>+F8</f>
        <v>0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/>
      <c r="C45" s="27">
        <f>B45-F45-G45-H45</f>
        <v>0</v>
      </c>
      <c r="D45" s="4">
        <v>6580</v>
      </c>
      <c r="E45" s="5"/>
      <c r="F45" s="90"/>
      <c r="G45" s="91"/>
      <c r="H45" s="37">
        <f>B45-G45-F45</f>
        <v>0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/>
      <c r="C46" s="27">
        <f>B46-F46-G46-H46</f>
        <v>0</v>
      </c>
      <c r="D46" s="4">
        <v>6580</v>
      </c>
      <c r="E46" s="5"/>
      <c r="F46" s="93"/>
      <c r="G46" s="94"/>
      <c r="H46" s="37">
        <f>B46-G46-F46</f>
        <v>0</v>
      </c>
      <c r="I46" s="12">
        <v>3</v>
      </c>
      <c r="J46" s="13">
        <v>6580</v>
      </c>
      <c r="K46" s="92">
        <f>-F16+F43+F44+F45+F46+F47</f>
        <v>0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/>
      <c r="C47" s="27">
        <f>B47-F47-G47-H47</f>
        <v>0</v>
      </c>
      <c r="D47" s="4"/>
      <c r="E47" s="5"/>
      <c r="F47" s="95"/>
      <c r="G47" s="96"/>
      <c r="H47" s="37">
        <f>B47-G47-F47</f>
        <v>0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370.46000000000004</v>
      </c>
      <c r="C48" s="27">
        <f>B49-F48-G48-H48</f>
        <v>0</v>
      </c>
      <c r="D48" s="7"/>
      <c r="E48" s="1"/>
      <c r="F48" s="97">
        <f>SUM(F38:F47)</f>
        <v>0</v>
      </c>
      <c r="G48" s="97">
        <f>SUM(G38:G47)</f>
        <v>370.46000000000004</v>
      </c>
      <c r="H48" s="71">
        <f>SUM(H38:H47)</f>
        <v>1109.69</v>
      </c>
      <c r="I48" s="12">
        <v>3</v>
      </c>
      <c r="J48" s="13">
        <v>6300</v>
      </c>
      <c r="K48" s="92">
        <f>ROUND(F72,2)</f>
        <v>0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5" s="33" customFormat="1" ht="19.5" thickTop="1" thickBot="1" x14ac:dyDescent="0.3">
      <c r="A49" s="34" t="s">
        <v>60</v>
      </c>
      <c r="B49" s="98">
        <f>SUM(B38:B47)</f>
        <v>1480.15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5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0</v>
      </c>
      <c r="L50" s="1"/>
      <c r="M50" s="1" t="s">
        <v>34</v>
      </c>
      <c r="N50" s="1"/>
      <c r="O50" s="1"/>
      <c r="P50" s="1"/>
    </row>
    <row r="51" spans="1:25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5" x14ac:dyDescent="0.25">
      <c r="A52" s="25" t="s">
        <v>78</v>
      </c>
      <c r="B52" s="80">
        <f>B24</f>
        <v>387.4</v>
      </c>
      <c r="C52" s="106"/>
      <c r="D52" s="28">
        <v>6570</v>
      </c>
      <c r="E52" s="29"/>
      <c r="F52" s="81">
        <f>F24</f>
        <v>0</v>
      </c>
      <c r="G52" s="107">
        <f>G24</f>
        <v>387.4</v>
      </c>
      <c r="H52" s="31">
        <f>B52-G52-F52</f>
        <v>0</v>
      </c>
      <c r="I52" s="12">
        <v>3</v>
      </c>
      <c r="J52" s="13">
        <v>6570</v>
      </c>
      <c r="K52" s="92">
        <f>F59</f>
        <v>0</v>
      </c>
      <c r="M52" s="5" t="s">
        <v>25</v>
      </c>
      <c r="O52" s="1"/>
      <c r="P52" s="1"/>
    </row>
    <row r="53" spans="1:25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0</v>
      </c>
      <c r="M53" s="5" t="s">
        <v>27</v>
      </c>
      <c r="O53" s="1"/>
      <c r="P53" s="1"/>
    </row>
    <row r="54" spans="1:25" x14ac:dyDescent="0.25">
      <c r="A54" s="34" t="s">
        <v>60</v>
      </c>
      <c r="B54" s="108">
        <f>SUM(B52:B53)</f>
        <v>387.4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5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5" ht="18.75" thickBot="1" x14ac:dyDescent="0.3">
      <c r="A56" s="34" t="s">
        <v>80</v>
      </c>
      <c r="B56" s="110">
        <v>193.71</v>
      </c>
      <c r="C56" s="111"/>
      <c r="D56" s="4">
        <v>6571</v>
      </c>
      <c r="F56" s="90"/>
      <c r="G56" s="91">
        <v>193.71</v>
      </c>
      <c r="H56" s="37">
        <f>B56-F56-G56</f>
        <v>0</v>
      </c>
      <c r="I56" s="12"/>
      <c r="J56" s="13"/>
      <c r="K56" s="86">
        <f>SUM(K43:K55)</f>
        <v>0</v>
      </c>
      <c r="L56" s="1"/>
      <c r="N56" s="1">
        <v>2040</v>
      </c>
      <c r="O56" s="1"/>
      <c r="P56" s="1"/>
      <c r="Q56" s="33">
        <f>+O58+K58</f>
        <v>0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5" ht="18.75" thickTop="1" x14ac:dyDescent="0.25">
      <c r="A57" s="34" t="s">
        <v>61</v>
      </c>
      <c r="B57" s="112"/>
      <c r="C57" s="111"/>
      <c r="D57" s="4">
        <v>6571</v>
      </c>
      <c r="F57" s="93"/>
      <c r="G57" s="157"/>
      <c r="H57" s="37">
        <f>B57-F57-G57</f>
        <v>0</v>
      </c>
      <c r="I57" s="12"/>
      <c r="J57" s="13"/>
      <c r="K57" s="32"/>
      <c r="M57" s="1" t="s">
        <v>83</v>
      </c>
      <c r="O57" s="1"/>
      <c r="P57" s="1"/>
    </row>
    <row r="58" spans="1:25" ht="18.75" thickBot="1" x14ac:dyDescent="0.3">
      <c r="A58" s="34" t="s">
        <v>82</v>
      </c>
      <c r="B58" s="83">
        <f>+B20</f>
        <v>0</v>
      </c>
      <c r="C58" s="111"/>
      <c r="F58" s="6"/>
      <c r="G58" s="88"/>
      <c r="H58" s="37">
        <f>B58-F58-G58</f>
        <v>0</v>
      </c>
      <c r="I58" s="52">
        <v>1</v>
      </c>
      <c r="J58" s="10">
        <v>1012</v>
      </c>
      <c r="K58" s="113">
        <f>-(K23+K40+K56+K76+K83+K88)-K59-K60</f>
        <v>-5414.6600000000008</v>
      </c>
      <c r="M58" s="1"/>
      <c r="O58" s="114">
        <f>+'[3]1012-CNB Checking'!$F$123</f>
        <v>5414.66</v>
      </c>
      <c r="P58" s="114"/>
      <c r="Y58" s="32">
        <f>+K58+O58</f>
        <v>0</v>
      </c>
    </row>
    <row r="59" spans="1:25" ht="18.75" thickTop="1" x14ac:dyDescent="0.25">
      <c r="A59" s="34" t="s">
        <v>25</v>
      </c>
      <c r="B59" s="110">
        <v>16.579999999999998</v>
      </c>
      <c r="C59" s="111"/>
      <c r="D59" s="4">
        <v>6570</v>
      </c>
      <c r="F59" s="160">
        <f>+((F7+F8)/(B8+B7))*B59</f>
        <v>0</v>
      </c>
      <c r="G59" s="88">
        <f>+((G7+G8)/(B7+B8))*B59</f>
        <v>16.579999999999998</v>
      </c>
      <c r="H59" s="37">
        <f>+B59-F59-G59</f>
        <v>0</v>
      </c>
      <c r="I59" s="85">
        <v>1</v>
      </c>
      <c r="K59" s="21"/>
      <c r="O59" s="21"/>
      <c r="P59" s="1"/>
    </row>
    <row r="60" spans="1:25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85">
        <v>1</v>
      </c>
      <c r="K60" s="21"/>
      <c r="O60" s="21"/>
      <c r="P60" s="1"/>
    </row>
    <row r="61" spans="1:25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>B61-F61-G61</f>
        <v>0</v>
      </c>
      <c r="I61" s="85"/>
      <c r="K61" s="21"/>
      <c r="O61" s="21"/>
      <c r="P61" s="1"/>
    </row>
    <row r="62" spans="1:25" ht="18.75" thickBot="1" x14ac:dyDescent="0.3">
      <c r="A62" s="34" t="s">
        <v>60</v>
      </c>
      <c r="B62" s="116">
        <f>B54+B60+B61+B56+B59+B58</f>
        <v>597.69000000000005</v>
      </c>
      <c r="C62" s="117"/>
      <c r="D62" s="7"/>
      <c r="E62" s="1"/>
      <c r="F62" s="71">
        <f>F52+F56</f>
        <v>0</v>
      </c>
      <c r="G62" s="71">
        <f>G52+G56</f>
        <v>581.11</v>
      </c>
      <c r="H62" s="118">
        <f>B62-G62</f>
        <v>16.580000000000041</v>
      </c>
      <c r="I62" s="115" t="s">
        <v>85</v>
      </c>
      <c r="K62" s="32"/>
      <c r="O62" s="1"/>
      <c r="P62" s="1"/>
    </row>
    <row r="63" spans="1:25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5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v>0.1</v>
      </c>
      <c r="G65" s="123">
        <v>0.3</v>
      </c>
      <c r="H65" s="123">
        <v>0.6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0.1</v>
      </c>
      <c r="G70" s="123">
        <f>G65</f>
        <v>0.3</v>
      </c>
      <c r="H70" s="123">
        <f>H65</f>
        <v>0.6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/>
      <c r="C71" s="106"/>
      <c r="D71" s="28">
        <v>6300</v>
      </c>
      <c r="E71" s="29"/>
      <c r="F71" s="81">
        <f>B71*F70</f>
        <v>0</v>
      </c>
      <c r="G71" s="107">
        <f>B71*G70</f>
        <v>0</v>
      </c>
      <c r="H71" s="31">
        <f>B71*H70-0</f>
        <v>0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0</v>
      </c>
      <c r="C72" s="117"/>
      <c r="D72" s="7"/>
      <c r="E72" s="1"/>
      <c r="F72" s="71">
        <f>F71</f>
        <v>0</v>
      </c>
      <c r="G72" s="71">
        <f>G71</f>
        <v>0</v>
      </c>
      <c r="H72" s="118">
        <f>H71</f>
        <v>0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5414.66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3336.82</v>
      </c>
      <c r="C77" s="130"/>
      <c r="D77" s="131" t="s">
        <v>100</v>
      </c>
      <c r="E77" s="6"/>
      <c r="F77" s="6"/>
      <c r="G77" s="132"/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3336.82</v>
      </c>
      <c r="C80" s="130"/>
      <c r="D80" s="131"/>
      <c r="E80" s="6"/>
      <c r="F80" s="6"/>
      <c r="G80" s="129">
        <f>SUM(G77:G79)</f>
        <v>0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5417.66</v>
      </c>
      <c r="C81" s="3"/>
      <c r="D81" s="4"/>
      <c r="E81" s="5"/>
      <c r="F81" s="5"/>
      <c r="G81" s="5"/>
      <c r="H81" s="128" t="str">
        <f>IF(B80-G80=0,"ok","NO")</f>
        <v>NO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0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5417.66</v>
      </c>
      <c r="C83" s="128" t="str">
        <f>IF(B75=B83,"ok","NO")</f>
        <v>NO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3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3960-0E93-4A86-8EB7-B282CF529644}">
  <sheetPr>
    <tabColor rgb="FF00B050"/>
    <pageSetUpPr fitToPage="1"/>
  </sheetPr>
  <dimension ref="A2:Z99"/>
  <sheetViews>
    <sheetView zoomScale="70" zoomScaleNormal="70" zoomScalePageLayoutView="70" workbookViewId="0">
      <selection activeCell="K66" sqref="K66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4.2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43559</v>
      </c>
      <c r="K2" s="9"/>
      <c r="M2" s="5" t="s">
        <v>1</v>
      </c>
    </row>
    <row r="3" spans="1:19" x14ac:dyDescent="0.25">
      <c r="A3" s="10" t="s">
        <v>2</v>
      </c>
      <c r="B3" s="8">
        <v>43553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0.9</v>
      </c>
    </row>
    <row r="7" spans="1:19" x14ac:dyDescent="0.25">
      <c r="A7" s="25" t="s">
        <v>14</v>
      </c>
      <c r="B7" s="26">
        <v>45594.44</v>
      </c>
      <c r="C7" s="27">
        <f>B7-F7-G7-H7</f>
        <v>0</v>
      </c>
      <c r="D7" s="28">
        <v>6500</v>
      </c>
      <c r="E7" s="29"/>
      <c r="F7" s="30">
        <v>4020.48</v>
      </c>
      <c r="G7" s="30">
        <v>17610.11</v>
      </c>
      <c r="H7" s="31">
        <f t="shared" ref="H7:H31" si="0">B7-F7-G7</f>
        <v>23963.85</v>
      </c>
      <c r="I7" s="12">
        <v>1</v>
      </c>
      <c r="J7" s="13">
        <v>6500</v>
      </c>
      <c r="K7" s="32">
        <f>H7</f>
        <v>23963.85</v>
      </c>
      <c r="M7" s="5" t="s">
        <v>15</v>
      </c>
      <c r="P7" s="5">
        <v>1</v>
      </c>
      <c r="Q7" s="13">
        <v>6500</v>
      </c>
      <c r="R7" s="33">
        <f>+K7*$R$6</f>
        <v>21567.465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1977.1</v>
      </c>
      <c r="C10" s="27">
        <f t="shared" ref="C10:C30" si="1">B10-F10-G10-H10</f>
        <v>0</v>
      </c>
      <c r="D10" s="4">
        <v>6040</v>
      </c>
      <c r="F10" s="35"/>
      <c r="G10" s="36">
        <v>630.20000000000005</v>
      </c>
      <c r="H10" s="37">
        <f t="shared" si="0"/>
        <v>1346.8999999999999</v>
      </c>
      <c r="I10" s="12">
        <v>1</v>
      </c>
      <c r="J10" s="13">
        <v>6580</v>
      </c>
      <c r="K10" s="32">
        <f>ROUND($H$42+$H$43+$H$44+$H$45-$H$15+$H$46,2)</f>
        <v>2376.13</v>
      </c>
      <c r="M10" s="39" t="s">
        <v>21</v>
      </c>
      <c r="P10" s="5">
        <v>1</v>
      </c>
      <c r="Q10" s="13">
        <v>6580</v>
      </c>
      <c r="R10" s="33">
        <f>+K10*$R$6</f>
        <v>2138.5170000000003</v>
      </c>
      <c r="S10" s="32"/>
    </row>
    <row r="11" spans="1:19" x14ac:dyDescent="0.25">
      <c r="A11" s="34" t="s">
        <v>22</v>
      </c>
      <c r="B11" s="40">
        <v>2688.73</v>
      </c>
      <c r="C11" s="27">
        <f t="shared" si="1"/>
        <v>0</v>
      </c>
      <c r="D11" s="4">
        <v>2100</v>
      </c>
      <c r="F11" s="41"/>
      <c r="G11" s="41"/>
      <c r="H11" s="37">
        <f t="shared" si="0"/>
        <v>2688.73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628.79999999999995</v>
      </c>
      <c r="C12" s="27">
        <f t="shared" si="1"/>
        <v>0</v>
      </c>
      <c r="D12" s="4">
        <v>2100</v>
      </c>
      <c r="F12" s="41"/>
      <c r="G12" s="41"/>
      <c r="H12" s="37">
        <f t="shared" si="0"/>
        <v>628.79999999999995</v>
      </c>
      <c r="I12" s="12">
        <v>1</v>
      </c>
      <c r="J12" s="13">
        <v>6570</v>
      </c>
      <c r="K12" s="32">
        <f>-H23+H51+H58</f>
        <v>377.13</v>
      </c>
      <c r="M12" s="5" t="s">
        <v>25</v>
      </c>
      <c r="P12" s="5">
        <v>1</v>
      </c>
      <c r="Q12" s="13">
        <v>6570</v>
      </c>
      <c r="R12" s="33">
        <f>+K12*R6</f>
        <v>339.41700000000003</v>
      </c>
      <c r="S12" s="32"/>
    </row>
    <row r="13" spans="1:19" x14ac:dyDescent="0.25">
      <c r="A13" s="34" t="s">
        <v>26</v>
      </c>
      <c r="B13" s="42">
        <v>3335.76</v>
      </c>
      <c r="C13" s="27">
        <f t="shared" si="1"/>
        <v>0</v>
      </c>
      <c r="D13" s="4">
        <v>2110</v>
      </c>
      <c r="F13" s="41"/>
      <c r="G13" s="41"/>
      <c r="H13" s="37">
        <f t="shared" si="0"/>
        <v>3335.76</v>
      </c>
      <c r="I13" s="12">
        <v>1</v>
      </c>
      <c r="J13" s="13">
        <v>6571</v>
      </c>
      <c r="K13" s="32">
        <f>ROUND(H55,2)</f>
        <v>1024.52</v>
      </c>
      <c r="M13" s="43" t="s">
        <v>27</v>
      </c>
      <c r="P13" s="5">
        <v>1</v>
      </c>
      <c r="Q13" s="13">
        <v>6571</v>
      </c>
      <c r="R13" s="33">
        <f>+K13*$R$6</f>
        <v>922.06799999999998</v>
      </c>
      <c r="S13" s="32"/>
    </row>
    <row r="14" spans="1:19" x14ac:dyDescent="0.25">
      <c r="A14" s="34" t="s">
        <v>28</v>
      </c>
      <c r="B14" s="42">
        <v>1834.22</v>
      </c>
      <c r="C14" s="27">
        <f t="shared" si="1"/>
        <v>0</v>
      </c>
      <c r="D14" s="4">
        <v>2120</v>
      </c>
      <c r="F14" s="41"/>
      <c r="G14" s="41"/>
      <c r="H14" s="37">
        <f t="shared" si="0"/>
        <v>1834.22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25.2</v>
      </c>
      <c r="C15" s="27">
        <f t="shared" si="1"/>
        <v>0</v>
      </c>
      <c r="D15" s="4">
        <v>6580</v>
      </c>
      <c r="F15" s="44">
        <v>1.2</v>
      </c>
      <c r="G15" s="44">
        <v>7.2</v>
      </c>
      <c r="H15" s="37">
        <f t="shared" si="0"/>
        <v>16.8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/>
    </row>
    <row r="16" spans="1:19" ht="18.75" thickBot="1" x14ac:dyDescent="0.3">
      <c r="A16" s="34" t="s">
        <v>33</v>
      </c>
      <c r="B16" s="51">
        <v>69.739999999999995</v>
      </c>
      <c r="C16" s="27">
        <f t="shared" si="1"/>
        <v>0</v>
      </c>
      <c r="D16" s="7">
        <v>2120</v>
      </c>
      <c r="F16" s="44">
        <v>3.77</v>
      </c>
      <c r="G16" s="44">
        <v>19.79</v>
      </c>
      <c r="H16" s="37">
        <f t="shared" si="0"/>
        <v>46.18</v>
      </c>
      <c r="I16" s="52">
        <v>1</v>
      </c>
      <c r="J16" s="10">
        <v>2120</v>
      </c>
      <c r="K16" s="21">
        <f>-H16</f>
        <v>-46.18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-41.561999999999998</v>
      </c>
      <c r="S16" s="32"/>
    </row>
    <row r="17" spans="1:26" x14ac:dyDescent="0.25">
      <c r="A17" s="34" t="s">
        <v>35</v>
      </c>
      <c r="B17" s="53">
        <v>24</v>
      </c>
      <c r="C17" s="27">
        <f t="shared" si="1"/>
        <v>0</v>
      </c>
      <c r="D17" s="54">
        <v>1830</v>
      </c>
      <c r="F17" s="41"/>
      <c r="G17" s="55"/>
      <c r="H17" s="37">
        <f t="shared" si="0"/>
        <v>24</v>
      </c>
      <c r="I17" s="12">
        <v>1</v>
      </c>
      <c r="J17" s="13">
        <v>1830</v>
      </c>
      <c r="K17" s="56">
        <f>ROUND(-H20-H27-H17-H18-H21-H26-H28,2)</f>
        <v>-1186.97</v>
      </c>
      <c r="M17" s="5" t="s">
        <v>36</v>
      </c>
      <c r="P17" s="5">
        <v>1</v>
      </c>
      <c r="Q17" s="13">
        <v>1830</v>
      </c>
      <c r="R17" s="33">
        <f>+K17*$R$6</f>
        <v>-1068.2730000000001</v>
      </c>
      <c r="S17" s="32"/>
    </row>
    <row r="18" spans="1:26" x14ac:dyDescent="0.25">
      <c r="A18" s="34" t="s">
        <v>37</v>
      </c>
      <c r="B18" s="57">
        <v>87.96</v>
      </c>
      <c r="C18" s="27">
        <f t="shared" si="1"/>
        <v>0</v>
      </c>
      <c r="D18" s="54">
        <v>1830</v>
      </c>
      <c r="F18" s="41"/>
      <c r="G18" s="44">
        <v>59.98</v>
      </c>
      <c r="H18" s="37">
        <f t="shared" si="0"/>
        <v>27.979999999999997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57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366.23</v>
      </c>
      <c r="M19" s="5" t="s">
        <v>40</v>
      </c>
      <c r="P19" s="5">
        <v>1</v>
      </c>
      <c r="Q19" s="13">
        <v>6300</v>
      </c>
      <c r="R19" s="33">
        <f>+K19*$R$6</f>
        <v>329.60700000000003</v>
      </c>
      <c r="S19" s="32"/>
    </row>
    <row r="20" spans="1:26" x14ac:dyDescent="0.25">
      <c r="A20" s="34" t="s">
        <v>41</v>
      </c>
      <c r="B20" s="57">
        <v>1751.52</v>
      </c>
      <c r="C20" s="27">
        <f t="shared" si="1"/>
        <v>0</v>
      </c>
      <c r="D20" s="4">
        <v>1830</v>
      </c>
      <c r="F20" s="41"/>
      <c r="G20" s="44">
        <v>809.87</v>
      </c>
      <c r="H20" s="37">
        <f t="shared" si="0"/>
        <v>941.65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57">
        <v>194.16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68.16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57">
        <v>692.31</v>
      </c>
      <c r="C22" s="27">
        <f t="shared" si="1"/>
        <v>0</v>
      </c>
      <c r="F22" s="41"/>
      <c r="G22" s="55"/>
      <c r="H22" s="37">
        <f t="shared" si="0"/>
        <v>692.31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57">
        <v>2003.15</v>
      </c>
      <c r="C23" s="27">
        <f t="shared" si="1"/>
        <v>0</v>
      </c>
      <c r="D23" s="4">
        <v>6570</v>
      </c>
      <c r="F23" s="44">
        <v>172.48</v>
      </c>
      <c r="G23" s="44">
        <v>611.05999999999995</v>
      </c>
      <c r="H23" s="37">
        <f t="shared" si="0"/>
        <v>1219.6100000000001</v>
      </c>
      <c r="I23" s="12"/>
      <c r="J23" s="13"/>
      <c r="K23" s="59">
        <f>SUM(K7:K22)</f>
        <v>26874.71</v>
      </c>
      <c r="N23" s="1">
        <v>2040</v>
      </c>
      <c r="P23" s="5">
        <v>1</v>
      </c>
      <c r="Q23" s="13">
        <v>2040</v>
      </c>
      <c r="R23" s="60">
        <f>SUM(R7:R22)</f>
        <v>24187.238999999998</v>
      </c>
      <c r="S23" s="6"/>
    </row>
    <row r="24" spans="1:26" ht="18.75" thickTop="1" x14ac:dyDescent="0.25">
      <c r="A24" s="34" t="s">
        <v>48</v>
      </c>
      <c r="B24" s="57">
        <v>495.3</v>
      </c>
      <c r="C24" s="27">
        <f t="shared" si="1"/>
        <v>0</v>
      </c>
      <c r="F24" s="41"/>
      <c r="G24" s="44">
        <v>123.58</v>
      </c>
      <c r="H24" s="37">
        <f t="shared" si="0"/>
        <v>371.72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57">
        <v>389.23</v>
      </c>
      <c r="C25" s="27">
        <f t="shared" si="1"/>
        <v>0</v>
      </c>
      <c r="F25" s="44">
        <v>101.92</v>
      </c>
      <c r="G25" s="44"/>
      <c r="H25" s="37">
        <f t="shared" si="0"/>
        <v>287.31</v>
      </c>
      <c r="I25" s="61">
        <v>2</v>
      </c>
      <c r="J25" s="62"/>
      <c r="K25" s="32"/>
      <c r="Q25" s="62"/>
      <c r="R25" s="33"/>
    </row>
    <row r="26" spans="1:26" x14ac:dyDescent="0.25">
      <c r="A26" s="34" t="s">
        <v>50</v>
      </c>
      <c r="B26" s="57">
        <v>63.17</v>
      </c>
      <c r="C26" s="27">
        <f t="shared" si="1"/>
        <v>0</v>
      </c>
      <c r="D26" s="54">
        <v>1830</v>
      </c>
      <c r="F26" s="41"/>
      <c r="G26" s="55"/>
      <c r="H26" s="37">
        <f t="shared" si="0"/>
        <v>63.17</v>
      </c>
      <c r="I26" s="12">
        <v>2</v>
      </c>
      <c r="J26" s="13">
        <v>6500</v>
      </c>
      <c r="K26" s="32">
        <f>G7</f>
        <v>17610.11</v>
      </c>
      <c r="M26" s="5" t="s">
        <v>51</v>
      </c>
      <c r="O26" s="32"/>
      <c r="P26" s="5">
        <v>2</v>
      </c>
      <c r="Q26" s="13">
        <v>6500</v>
      </c>
      <c r="R26" s="33">
        <f>+K26*R6</f>
        <v>15849.099</v>
      </c>
      <c r="S26" s="32"/>
      <c r="X26" s="32"/>
    </row>
    <row r="27" spans="1:26" x14ac:dyDescent="0.25">
      <c r="A27" s="34" t="s">
        <v>52</v>
      </c>
      <c r="B27" s="57"/>
      <c r="C27" s="63">
        <f t="shared" si="1"/>
        <v>0</v>
      </c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64">
        <v>91.13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62.009999999999991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57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921.8</v>
      </c>
      <c r="M29" s="39" t="s">
        <v>21</v>
      </c>
      <c r="P29" s="5">
        <v>2</v>
      </c>
      <c r="Q29" s="13">
        <v>6580</v>
      </c>
      <c r="R29" s="33">
        <f>+K29*R6</f>
        <v>829.62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188.57</v>
      </c>
      <c r="M31" s="5" t="s">
        <v>25</v>
      </c>
      <c r="P31" s="5">
        <v>2</v>
      </c>
      <c r="Q31" s="13">
        <v>6570</v>
      </c>
      <c r="R31" s="33">
        <f>+K31*$R$6</f>
        <v>169.71299999999999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</f>
        <v>33197.159999999996</v>
      </c>
      <c r="C32" s="72">
        <f>B32-F32-G32-H32</f>
        <v>0</v>
      </c>
      <c r="D32" s="71"/>
      <c r="E32" s="71"/>
      <c r="F32" s="71">
        <f t="shared" ref="F32:H32" si="2">F7+F8+F10-F11-F12-F13-F14-F15-F16-F19-F29-F20-F26-F25-F28-F17-F21-F18-F23-F22-F24+F30+F31</f>
        <v>3730.36</v>
      </c>
      <c r="G32" s="71">
        <f t="shared" si="2"/>
        <v>16464.46</v>
      </c>
      <c r="H32" s="71">
        <f t="shared" si="2"/>
        <v>13002.34</v>
      </c>
      <c r="I32" s="12">
        <v>2</v>
      </c>
      <c r="J32" s="13">
        <v>6571</v>
      </c>
      <c r="K32" s="32">
        <f>G55</f>
        <v>364.41</v>
      </c>
      <c r="M32" s="43" t="s">
        <v>27</v>
      </c>
      <c r="P32" s="5">
        <v>2</v>
      </c>
      <c r="Q32" s="13">
        <v>6571</v>
      </c>
      <c r="R32" s="33">
        <f>+K32*$R$6</f>
        <v>327.96900000000005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/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-19.79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-17.811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-1014.22</v>
      </c>
      <c r="M36" s="5" t="s">
        <v>36</v>
      </c>
      <c r="O36" s="1"/>
      <c r="P36" s="5">
        <v>2</v>
      </c>
      <c r="Q36" s="13">
        <v>1830</v>
      </c>
      <c r="R36" s="33">
        <f>+K36*$R$6</f>
        <v>-912.798</v>
      </c>
      <c r="S36" s="32"/>
    </row>
    <row r="37" spans="1:22" x14ac:dyDescent="0.25">
      <c r="A37" s="25" t="s">
        <v>66</v>
      </c>
      <c r="B37" s="80">
        <f>B11</f>
        <v>2688.73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2688.73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628.79999999999995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628.79999999999995</v>
      </c>
      <c r="I38" s="12">
        <v>2</v>
      </c>
      <c r="J38" s="13">
        <v>6300</v>
      </c>
      <c r="K38" s="84">
        <f>ROUND(G70,2)</f>
        <v>183.11</v>
      </c>
      <c r="M38" s="5" t="s">
        <v>40</v>
      </c>
      <c r="O38" s="1"/>
      <c r="P38" s="5">
        <v>2</v>
      </c>
      <c r="Q38" s="13">
        <v>6300</v>
      </c>
      <c r="R38" s="33">
        <f>+K38*$R$6</f>
        <v>164.79900000000001</v>
      </c>
      <c r="S38" s="32"/>
    </row>
    <row r="39" spans="1:22" x14ac:dyDescent="0.25">
      <c r="A39" s="34" t="s">
        <v>68</v>
      </c>
      <c r="B39" s="83">
        <f>B13</f>
        <v>3335.76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3335.76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1834.22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1834.22</v>
      </c>
      <c r="I40" s="85"/>
      <c r="J40" s="5">
        <v>2040</v>
      </c>
      <c r="K40" s="86">
        <f>SUM(K26:K39)</f>
        <v>18233.989999999998</v>
      </c>
      <c r="N40" s="1">
        <v>2040</v>
      </c>
      <c r="O40" s="1"/>
      <c r="P40" s="5">
        <v>2</v>
      </c>
      <c r="Q40" s="5">
        <v>2040</v>
      </c>
      <c r="R40" s="86">
        <f>SUM(R26:R39)</f>
        <v>16410.591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2688.72</v>
      </c>
      <c r="C42" s="27">
        <f>B42-F42-G42-H42</f>
        <v>0</v>
      </c>
      <c r="D42" s="4">
        <v>6580</v>
      </c>
      <c r="F42" s="90">
        <v>146.44999999999999</v>
      </c>
      <c r="G42" s="90">
        <v>749.02</v>
      </c>
      <c r="H42" s="37">
        <f>B42-F42-G42</f>
        <v>1793.25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628.85</v>
      </c>
      <c r="C43" s="27">
        <f>B43-F43-G43-H43</f>
        <v>0</v>
      </c>
      <c r="D43" s="4">
        <v>6580</v>
      </c>
      <c r="F43" s="90">
        <v>34.25</v>
      </c>
      <c r="G43" s="90">
        <v>175.19</v>
      </c>
      <c r="H43" s="37">
        <f>B43-F43-G43</f>
        <v>419.41</v>
      </c>
      <c r="I43" s="12">
        <v>3</v>
      </c>
      <c r="J43" s="13">
        <v>6500</v>
      </c>
      <c r="K43" s="92">
        <f>F7</f>
        <v>4020.48</v>
      </c>
      <c r="M43" s="5" t="s">
        <v>71</v>
      </c>
      <c r="O43" s="1"/>
      <c r="P43" s="5">
        <v>3</v>
      </c>
      <c r="Q43" s="13">
        <v>6500</v>
      </c>
      <c r="R43" s="33">
        <f>+K43*$R$6</f>
        <v>3618.4320000000002</v>
      </c>
      <c r="S43" s="32"/>
    </row>
    <row r="44" spans="1:22" x14ac:dyDescent="0.25">
      <c r="A44" s="34" t="s">
        <v>72</v>
      </c>
      <c r="B44" s="89">
        <v>20.37</v>
      </c>
      <c r="C44" s="27">
        <f>B44-F44-G44-H44</f>
        <v>0</v>
      </c>
      <c r="D44" s="4">
        <v>6580</v>
      </c>
      <c r="F44" s="90"/>
      <c r="G44" s="91">
        <v>4.79</v>
      </c>
      <c r="H44" s="37">
        <f>B44-G44-F44</f>
        <v>15.580000000000002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157.84</v>
      </c>
      <c r="C45" s="27">
        <f>B45-F45-G45-H45</f>
        <v>0</v>
      </c>
      <c r="D45" s="4">
        <v>6580</v>
      </c>
      <c r="F45" s="90"/>
      <c r="G45" s="94"/>
      <c r="H45" s="37">
        <f>B45-G45-F45</f>
        <v>157.84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6.85</v>
      </c>
      <c r="C46" s="27">
        <f>B46-F46-G46-H46</f>
        <v>0</v>
      </c>
      <c r="F46" s="96"/>
      <c r="G46" s="96"/>
      <c r="H46" s="37">
        <f>B46-G46-F46</f>
        <v>6.85</v>
      </c>
      <c r="I46" s="12">
        <v>3</v>
      </c>
      <c r="J46" s="13">
        <v>6580</v>
      </c>
      <c r="K46" s="32">
        <f>ROUND($F$42+$F$43+$F$44+$F$45-$F$15+$F$46,2)</f>
        <v>179.5</v>
      </c>
      <c r="M46" s="39" t="s">
        <v>21</v>
      </c>
      <c r="O46" s="1"/>
      <c r="P46" s="5">
        <v>3</v>
      </c>
      <c r="Q46" s="13">
        <v>6580</v>
      </c>
      <c r="R46" s="33">
        <f>+K46*$R$6</f>
        <v>161.55000000000001</v>
      </c>
      <c r="S46" s="32"/>
    </row>
    <row r="47" spans="1:22" ht="18.75" thickBot="1" x14ac:dyDescent="0.3">
      <c r="B47" s="97">
        <f>SUM(B42:B46)</f>
        <v>3502.6299999999997</v>
      </c>
      <c r="C47" s="27">
        <f>B48-F47-G47-H47</f>
        <v>0</v>
      </c>
      <c r="D47" s="7"/>
      <c r="E47" s="1"/>
      <c r="F47" s="97">
        <f>SUM(F37:F46)</f>
        <v>180.7</v>
      </c>
      <c r="G47" s="97">
        <f>SUM(G37:G46)</f>
        <v>929</v>
      </c>
      <c r="H47" s="71">
        <f>SUM(H37:H46)</f>
        <v>10880.44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11990.140000000001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61.04</v>
      </c>
      <c r="M48" s="5" t="s">
        <v>40</v>
      </c>
      <c r="O48" s="1"/>
      <c r="P48" s="5">
        <v>3</v>
      </c>
      <c r="Q48" s="13">
        <v>6300</v>
      </c>
      <c r="R48" s="33">
        <f>+K48*$R$6</f>
        <v>54.936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-3.77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-3.3930000000000002</v>
      </c>
      <c r="S50" s="32"/>
    </row>
    <row r="51" spans="1:23" x14ac:dyDescent="0.25">
      <c r="A51" s="25" t="s">
        <v>78</v>
      </c>
      <c r="B51" s="80">
        <f>B23</f>
        <v>2003.15</v>
      </c>
      <c r="C51" s="106"/>
      <c r="D51" s="28">
        <v>6570</v>
      </c>
      <c r="E51" s="29"/>
      <c r="F51" s="81">
        <f>F23</f>
        <v>172.48</v>
      </c>
      <c r="G51" s="107">
        <f>G23</f>
        <v>611.05999999999995</v>
      </c>
      <c r="H51" s="31">
        <f>B51-G51-F51</f>
        <v>1219.6100000000001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692.31</v>
      </c>
      <c r="C52" s="27"/>
      <c r="F52" s="6">
        <f>F22</f>
        <v>0</v>
      </c>
      <c r="G52" s="88">
        <f>G22</f>
        <v>0</v>
      </c>
      <c r="H52" s="37">
        <f>B52-F52-G52</f>
        <v>692.31</v>
      </c>
      <c r="I52" s="12">
        <v>3</v>
      </c>
      <c r="J52" s="13">
        <v>6570</v>
      </c>
      <c r="K52" s="32">
        <f>-$F$23+$F$51+$F$58</f>
        <v>62.86</v>
      </c>
      <c r="M52" s="5" t="s">
        <v>25</v>
      </c>
      <c r="O52" s="1"/>
      <c r="P52" s="5">
        <v>3</v>
      </c>
      <c r="Q52" s="13">
        <v>6570</v>
      </c>
      <c r="R52" s="33">
        <f>+K52</f>
        <v>62.86</v>
      </c>
      <c r="S52" s="32"/>
    </row>
    <row r="53" spans="1:23" x14ac:dyDescent="0.25">
      <c r="A53" s="34" t="s">
        <v>60</v>
      </c>
      <c r="B53" s="108">
        <f>SUM(B51:B52)</f>
        <v>2695.46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1487.49</v>
      </c>
      <c r="C55" s="111"/>
      <c r="D55" s="4">
        <v>6571</v>
      </c>
      <c r="F55" s="90">
        <v>98.56</v>
      </c>
      <c r="G55" s="90">
        <v>364.41</v>
      </c>
      <c r="H55" s="37">
        <f>B55-F55-G55</f>
        <v>1024.52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1648.6</v>
      </c>
      <c r="C56" s="111"/>
      <c r="D56" s="4">
        <v>6571</v>
      </c>
      <c r="F56" s="93"/>
      <c r="G56" s="93"/>
      <c r="H56" s="37">
        <f>B56-F56-G56</f>
        <v>1648.6</v>
      </c>
      <c r="I56" s="12"/>
      <c r="J56" s="13"/>
      <c r="K56" s="86">
        <f>SUM(K43:K55)</f>
        <v>4407.9199999999992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3992.9450000000006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628.55999999999995</v>
      </c>
      <c r="C58" s="111"/>
      <c r="D58" s="4">
        <v>6570</v>
      </c>
      <c r="F58" s="88">
        <f>ROUND(B58*10%,2)</f>
        <v>62.86</v>
      </c>
      <c r="G58" s="88">
        <f>ROUND(B58*30%,2)</f>
        <v>188.57</v>
      </c>
      <c r="H58" s="37">
        <f>ROUND(B58-F58-G58,2)</f>
        <v>377.13</v>
      </c>
      <c r="I58" s="52">
        <v>1</v>
      </c>
      <c r="J58" s="10">
        <v>1012</v>
      </c>
      <c r="K58" s="113">
        <f>-(K23+K40+K56+K74+K84+K90)-K59</f>
        <v>-51493.719999999994</v>
      </c>
      <c r="M58" s="1"/>
      <c r="N58" s="32">
        <f>+'[4]1012-CNB Checking'!$F$22</f>
        <v>51493.72</v>
      </c>
      <c r="O58" s="114">
        <f>+K58+N58</f>
        <v>0</v>
      </c>
      <c r="P58" s="32"/>
      <c r="R58" s="33"/>
    </row>
    <row r="59" spans="1:23" ht="18.75" thickTop="1" x14ac:dyDescent="0.25">
      <c r="A59" s="34" t="s">
        <v>48</v>
      </c>
      <c r="B59" s="83">
        <f>B24</f>
        <v>495.3</v>
      </c>
      <c r="C59" s="27"/>
      <c r="F59" s="88">
        <f>F24</f>
        <v>0</v>
      </c>
      <c r="G59" s="88">
        <f>G24</f>
        <v>123.58</v>
      </c>
      <c r="H59" s="37">
        <f>B59-F59-G59</f>
        <v>371.72</v>
      </c>
      <c r="I59" s="52">
        <v>1</v>
      </c>
      <c r="J59" s="10"/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389.23</v>
      </c>
      <c r="C60" s="27"/>
      <c r="F60" s="88">
        <f>F25</f>
        <v>101.92</v>
      </c>
      <c r="G60" s="88">
        <f>G25</f>
        <v>0</v>
      </c>
      <c r="H60" s="37">
        <f>B60-F60-G60</f>
        <v>287.31</v>
      </c>
      <c r="I60" s="115" t="s">
        <v>85</v>
      </c>
      <c r="K60" s="32"/>
      <c r="O60" s="1"/>
      <c r="R60" s="33"/>
    </row>
    <row r="61" spans="1:23" ht="18.75" thickBot="1" x14ac:dyDescent="0.3">
      <c r="A61" s="34" t="s">
        <v>60</v>
      </c>
      <c r="B61" s="116">
        <f>B53+B59+B60+B55+B58+B57</f>
        <v>5696.0400000000009</v>
      </c>
      <c r="C61" s="117"/>
      <c r="D61" s="7"/>
      <c r="E61" s="1"/>
      <c r="F61" s="71">
        <f>F51+F55</f>
        <v>271.03999999999996</v>
      </c>
      <c r="G61" s="71">
        <f>G51+G55</f>
        <v>975.47</v>
      </c>
      <c r="H61" s="118">
        <f>B61-G61</f>
        <v>4720.5700000000006</v>
      </c>
      <c r="I61" s="115">
        <v>1</v>
      </c>
      <c r="J61" s="119">
        <v>1831</v>
      </c>
      <c r="K61" s="120">
        <v>1275</v>
      </c>
      <c r="M61" s="5" t="s">
        <v>42</v>
      </c>
      <c r="O61" s="121"/>
      <c r="P61" s="5">
        <v>1</v>
      </c>
      <c r="Q61" s="5">
        <v>1831</v>
      </c>
      <c r="R61" s="3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/>
      <c r="M62" s="5" t="s">
        <v>86</v>
      </c>
      <c r="O62" s="1"/>
      <c r="P62" s="5">
        <v>1</v>
      </c>
      <c r="Q62" s="5">
        <v>6551</v>
      </c>
      <c r="R62" s="3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5">
        <v>1</v>
      </c>
      <c r="Q63" s="5">
        <v>6551</v>
      </c>
      <c r="R63" s="3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5">
        <v>1</v>
      </c>
      <c r="Q64" s="5">
        <v>6630</v>
      </c>
      <c r="R64" s="3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>
        <v>34.619999999999997</v>
      </c>
      <c r="M65" s="5" t="s">
        <v>90</v>
      </c>
      <c r="O65" s="1"/>
      <c r="P65" s="5">
        <v>1</v>
      </c>
      <c r="Q65" s="5">
        <v>6630</v>
      </c>
      <c r="R65" s="3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655.94-618.66</f>
        <v>37.280000000000086</v>
      </c>
      <c r="M66" s="5" t="s">
        <v>91</v>
      </c>
      <c r="O66" s="1"/>
      <c r="P66" s="5">
        <v>1</v>
      </c>
      <c r="Q66" s="5">
        <v>6565</v>
      </c>
      <c r="R66" s="3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5">
        <v>1</v>
      </c>
      <c r="Q67" s="5">
        <v>6560</v>
      </c>
      <c r="R67" s="33"/>
      <c r="S67" s="32"/>
    </row>
    <row r="68" spans="1:20" x14ac:dyDescent="0.25">
      <c r="F68" s="6"/>
      <c r="I68" s="85"/>
      <c r="K68" s="120"/>
      <c r="O68" s="1"/>
      <c r="R68" s="33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33"/>
    </row>
    <row r="70" spans="1:20" x14ac:dyDescent="0.25">
      <c r="A70" s="25" t="s">
        <v>94</v>
      </c>
      <c r="B70" s="26">
        <f>608.26+2.12</f>
        <v>610.38</v>
      </c>
      <c r="C70" s="106"/>
      <c r="D70" s="28">
        <v>6300</v>
      </c>
      <c r="E70" s="29"/>
      <c r="F70" s="81">
        <f>B70*F69</f>
        <v>61.038000000000004</v>
      </c>
      <c r="G70" s="107">
        <f>B70*G69</f>
        <v>183.114</v>
      </c>
      <c r="H70" s="31">
        <f>B70*H69-0</f>
        <v>366.22800000000001</v>
      </c>
      <c r="I70" s="85"/>
      <c r="K70" s="120"/>
      <c r="O70" s="1"/>
      <c r="R70" s="33"/>
      <c r="T70" s="32"/>
    </row>
    <row r="71" spans="1:20" ht="21" thickBot="1" x14ac:dyDescent="0.35">
      <c r="A71" s="34" t="s">
        <v>60</v>
      </c>
      <c r="B71" s="116">
        <f>SUM(B70)</f>
        <v>610.38</v>
      </c>
      <c r="C71" s="117"/>
      <c r="D71" s="7"/>
      <c r="E71" s="1"/>
      <c r="F71" s="71">
        <f>F70</f>
        <v>61.038000000000004</v>
      </c>
      <c r="G71" s="71">
        <f>G70</f>
        <v>183.114</v>
      </c>
      <c r="H71" s="118">
        <f>H70</f>
        <v>366.22800000000001</v>
      </c>
      <c r="I71" s="85"/>
      <c r="J71" s="85"/>
      <c r="K71" s="120"/>
      <c r="M71" s="125"/>
      <c r="O71" s="1"/>
      <c r="R71" s="33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33"/>
    </row>
    <row r="73" spans="1:20" ht="18.75" thickBot="1" x14ac:dyDescent="0.3">
      <c r="F73" s="6"/>
      <c r="I73" s="85"/>
      <c r="K73" s="127"/>
      <c r="O73" s="1"/>
      <c r="R73" s="33"/>
    </row>
    <row r="74" spans="1:20" ht="18.75" thickBot="1" x14ac:dyDescent="0.3">
      <c r="A74" s="1" t="s">
        <v>96</v>
      </c>
      <c r="B74" s="128">
        <f>ROUND((B71+B66+B61+B48+B32),2)</f>
        <v>51493.72</v>
      </c>
      <c r="F74" s="6"/>
      <c r="I74" s="85" t="s">
        <v>97</v>
      </c>
      <c r="K74" s="129">
        <f>SUM(K61:K73)</f>
        <v>1346.9</v>
      </c>
      <c r="O74" s="1"/>
      <c r="R74" s="33"/>
    </row>
    <row r="75" spans="1:20" ht="18.75" thickBot="1" x14ac:dyDescent="0.3">
      <c r="F75" s="6"/>
      <c r="I75" s="85">
        <v>2</v>
      </c>
      <c r="J75" s="119" t="s">
        <v>98</v>
      </c>
      <c r="K75" s="120"/>
      <c r="M75" s="5" t="s">
        <v>86</v>
      </c>
      <c r="O75" s="1"/>
      <c r="P75" s="5">
        <v>2</v>
      </c>
      <c r="Q75" s="119">
        <v>6551</v>
      </c>
      <c r="R75" s="33"/>
      <c r="S75" s="32"/>
    </row>
    <row r="76" spans="1:20" x14ac:dyDescent="0.25">
      <c r="A76" s="129" t="s">
        <v>99</v>
      </c>
      <c r="B76" s="26">
        <v>31548.560000000001</v>
      </c>
      <c r="C76" s="130"/>
      <c r="D76" s="131" t="s">
        <v>100</v>
      </c>
      <c r="E76" s="6"/>
      <c r="F76" s="6"/>
      <c r="G76" s="132">
        <v>31548.560000000001</v>
      </c>
      <c r="H76" s="6"/>
      <c r="I76" s="85">
        <v>2</v>
      </c>
      <c r="J76" s="119">
        <v>1831</v>
      </c>
      <c r="K76" s="120"/>
      <c r="M76" s="5" t="s">
        <v>42</v>
      </c>
      <c r="O76" s="1"/>
      <c r="P76" s="5">
        <v>2</v>
      </c>
      <c r="Q76" s="119">
        <v>6551</v>
      </c>
      <c r="R76" s="3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5">
        <v>2</v>
      </c>
      <c r="Q77" s="5">
        <v>6630</v>
      </c>
      <c r="R77" s="3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5">
        <v>2</v>
      </c>
      <c r="Q78" s="5">
        <v>6630</v>
      </c>
      <c r="R78" s="33"/>
      <c r="S78" s="32"/>
    </row>
    <row r="79" spans="1:20" ht="18.75" thickBot="1" x14ac:dyDescent="0.3">
      <c r="A79" s="134" t="s">
        <v>104</v>
      </c>
      <c r="B79" s="135">
        <f>ROUND(SUM(B76:B78),2)</f>
        <v>31548.560000000001</v>
      </c>
      <c r="C79" s="130"/>
      <c r="D79" s="131"/>
      <c r="E79" s="6"/>
      <c r="F79" s="6"/>
      <c r="G79" s="129">
        <f>SUM(G76:G78)</f>
        <v>31548.560000000001</v>
      </c>
      <c r="H79" s="6" t="s">
        <v>105</v>
      </c>
      <c r="I79" s="85">
        <v>2</v>
      </c>
      <c r="J79" s="5">
        <v>6551</v>
      </c>
      <c r="K79" s="120">
        <v>618.66</v>
      </c>
      <c r="M79" s="5" t="s">
        <v>91</v>
      </c>
      <c r="O79" s="1"/>
      <c r="P79" s="5">
        <v>2</v>
      </c>
      <c r="Q79" s="5">
        <v>6565</v>
      </c>
      <c r="R79" s="33"/>
      <c r="S79" s="32"/>
    </row>
    <row r="80" spans="1:20" ht="18.75" thickBot="1" x14ac:dyDescent="0.3">
      <c r="A80" s="1" t="s">
        <v>106</v>
      </c>
      <c r="B80" s="26">
        <v>50883.34</v>
      </c>
      <c r="H80" s="128" t="str">
        <f>IF(B79-G79=0,"ok","NO")</f>
        <v>ok</v>
      </c>
      <c r="I80" s="85">
        <v>2</v>
      </c>
      <c r="J80" s="5">
        <v>6040</v>
      </c>
      <c r="K80" s="120"/>
      <c r="M80" s="5" t="s">
        <v>131</v>
      </c>
      <c r="O80" s="1"/>
      <c r="P80" s="5">
        <v>2</v>
      </c>
      <c r="Q80" s="119" t="s">
        <v>107</v>
      </c>
      <c r="R80" s="33"/>
      <c r="S80" s="32"/>
    </row>
    <row r="81" spans="1:19" ht="18.75" thickBot="1" x14ac:dyDescent="0.3">
      <c r="A81" s="1" t="s">
        <v>94</v>
      </c>
      <c r="B81" s="3">
        <f>B66+B71</f>
        <v>610.38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33"/>
      <c r="S81" s="32"/>
    </row>
    <row r="82" spans="1:19" ht="18.75" thickBot="1" x14ac:dyDescent="0.3">
      <c r="B82" s="3">
        <f>+B80+B81</f>
        <v>51493.719999999994</v>
      </c>
      <c r="C82" s="128" t="str">
        <f>IF(B74=B82,"ok","NO")</f>
        <v>ok</v>
      </c>
      <c r="F82" s="136"/>
      <c r="I82" s="85"/>
      <c r="J82" s="119"/>
      <c r="K82" s="127"/>
      <c r="O82" s="1"/>
      <c r="R82" s="33"/>
    </row>
    <row r="83" spans="1:19" ht="18.75" thickBot="1" x14ac:dyDescent="0.3">
      <c r="A83" s="5"/>
      <c r="B83" s="137">
        <f>+B82-B74-B77</f>
        <v>-7.2759576141834259E-12</v>
      </c>
      <c r="I83" s="85"/>
      <c r="J83" s="119"/>
      <c r="K83" s="127"/>
      <c r="O83" s="1"/>
    </row>
    <row r="84" spans="1:19" x14ac:dyDescent="0.25">
      <c r="G84" s="32"/>
      <c r="I84" s="85"/>
      <c r="K84" s="129">
        <f>SUM(K75:K83)</f>
        <v>630.19999999999993</v>
      </c>
      <c r="O84" s="1"/>
      <c r="P84" s="5">
        <v>3</v>
      </c>
      <c r="Q84" s="5">
        <v>6551</v>
      </c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5"/>
      <c r="S85" s="32"/>
    </row>
    <row r="86" spans="1:19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5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112</v>
      </c>
      <c r="N88" s="5"/>
      <c r="O88" s="1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1977.1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7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85FE-6054-431F-B7CE-8A45E63A28F9}">
  <sheetPr>
    <tabColor rgb="FF00B050"/>
    <pageSetUpPr fitToPage="1"/>
  </sheetPr>
  <dimension ref="A2:Z99"/>
  <sheetViews>
    <sheetView zoomScale="70" zoomScaleNormal="70" zoomScalePageLayoutView="70" workbookViewId="0">
      <selection activeCell="I7" sqref="I7:K79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4.2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43573</v>
      </c>
      <c r="K2" s="9"/>
      <c r="M2" s="5" t="s">
        <v>1</v>
      </c>
    </row>
    <row r="3" spans="1:19" x14ac:dyDescent="0.25">
      <c r="A3" s="10" t="s">
        <v>2</v>
      </c>
      <c r="B3" s="8">
        <v>43567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0.9</v>
      </c>
    </row>
    <row r="7" spans="1:19" x14ac:dyDescent="0.25">
      <c r="A7" s="25" t="s">
        <v>14</v>
      </c>
      <c r="B7" s="26">
        <v>44462.43</v>
      </c>
      <c r="C7" s="27">
        <f>B7-F7-G7-H7</f>
        <v>0</v>
      </c>
      <c r="D7" s="28">
        <v>6500</v>
      </c>
      <c r="E7" s="29"/>
      <c r="F7" s="30">
        <v>4036.5</v>
      </c>
      <c r="G7" s="30">
        <v>17618.849999999999</v>
      </c>
      <c r="H7" s="31">
        <f t="shared" ref="H7:H31" si="0">B7-F7-G7</f>
        <v>22807.08</v>
      </c>
      <c r="I7" s="12">
        <v>1</v>
      </c>
      <c r="J7" s="13">
        <v>6500</v>
      </c>
      <c r="K7" s="32">
        <f>H7</f>
        <v>22807.08</v>
      </c>
      <c r="M7" s="5" t="s">
        <v>15</v>
      </c>
      <c r="P7" s="5">
        <v>1</v>
      </c>
      <c r="Q7" s="13">
        <v>6500</v>
      </c>
      <c r="R7" s="33">
        <f>+K7*$R$6</f>
        <v>20526.372000000003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1647.43</v>
      </c>
      <c r="C10" s="27">
        <f t="shared" ref="C10:C30" si="1">B10-F10-G10-H10</f>
        <v>0</v>
      </c>
      <c r="D10" s="4">
        <v>6040</v>
      </c>
      <c r="F10" s="35"/>
      <c r="G10" s="36">
        <v>1585.94</v>
      </c>
      <c r="H10" s="37">
        <f t="shared" si="0"/>
        <v>61.490000000000009</v>
      </c>
      <c r="I10" s="12">
        <v>1</v>
      </c>
      <c r="J10" s="13">
        <v>6580</v>
      </c>
      <c r="K10" s="32">
        <f>ROUND($H$42+$H$43+$H$44+$H$45-$H$15+$H$46,2)</f>
        <v>2324.14</v>
      </c>
      <c r="M10" s="39" t="s">
        <v>21</v>
      </c>
      <c r="P10" s="5">
        <v>1</v>
      </c>
      <c r="Q10" s="13">
        <v>6580</v>
      </c>
      <c r="R10" s="33">
        <f>+K10*$R$6</f>
        <v>2091.7260000000001</v>
      </c>
      <c r="S10" s="32"/>
    </row>
    <row r="11" spans="1:19" x14ac:dyDescent="0.25">
      <c r="A11" s="34" t="s">
        <v>22</v>
      </c>
      <c r="B11" s="40">
        <v>2608.65</v>
      </c>
      <c r="C11" s="27">
        <f t="shared" si="1"/>
        <v>0</v>
      </c>
      <c r="D11" s="4">
        <v>2100</v>
      </c>
      <c r="F11" s="41"/>
      <c r="G11" s="41"/>
      <c r="H11" s="37">
        <f t="shared" si="0"/>
        <v>2608.65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610.05999999999995</v>
      </c>
      <c r="C12" s="27">
        <f t="shared" si="1"/>
        <v>0</v>
      </c>
      <c r="D12" s="4">
        <v>2100</v>
      </c>
      <c r="F12" s="41"/>
      <c r="G12" s="41"/>
      <c r="H12" s="37">
        <f t="shared" si="0"/>
        <v>610.05999999999995</v>
      </c>
      <c r="I12" s="12">
        <v>1</v>
      </c>
      <c r="J12" s="13">
        <v>6570</v>
      </c>
      <c r="K12" s="32">
        <f>-H23+H51+H58</f>
        <v>354.03</v>
      </c>
      <c r="M12" s="5" t="s">
        <v>25</v>
      </c>
      <c r="P12" s="5">
        <v>1</v>
      </c>
      <c r="Q12" s="13">
        <v>6570</v>
      </c>
      <c r="R12" s="33">
        <f>+K12*R6</f>
        <v>318.62700000000001</v>
      </c>
      <c r="S12" s="32"/>
    </row>
    <row r="13" spans="1:19" x14ac:dyDescent="0.25">
      <c r="A13" s="34" t="s">
        <v>26</v>
      </c>
      <c r="B13" s="42">
        <v>3184.05</v>
      </c>
      <c r="C13" s="27">
        <f t="shared" si="1"/>
        <v>0</v>
      </c>
      <c r="D13" s="4">
        <v>2110</v>
      </c>
      <c r="F13" s="41"/>
      <c r="G13" s="41"/>
      <c r="H13" s="37">
        <f t="shared" si="0"/>
        <v>3184.05</v>
      </c>
      <c r="I13" s="12">
        <v>1</v>
      </c>
      <c r="J13" s="13">
        <v>6571</v>
      </c>
      <c r="K13" s="32">
        <f>ROUND(H55,2)</f>
        <v>1024.52</v>
      </c>
      <c r="M13" s="43" t="s">
        <v>27</v>
      </c>
      <c r="P13" s="5">
        <v>1</v>
      </c>
      <c r="Q13" s="13">
        <v>6571</v>
      </c>
      <c r="R13" s="33">
        <f>+K13*$R$6</f>
        <v>922.06799999999998</v>
      </c>
      <c r="S13" s="32"/>
    </row>
    <row r="14" spans="1:19" x14ac:dyDescent="0.25">
      <c r="A14" s="34" t="s">
        <v>28</v>
      </c>
      <c r="B14" s="42">
        <v>1746.63</v>
      </c>
      <c r="C14" s="27">
        <f t="shared" si="1"/>
        <v>0</v>
      </c>
      <c r="D14" s="4">
        <v>2120</v>
      </c>
      <c r="F14" s="41"/>
      <c r="G14" s="41"/>
      <c r="H14" s="37">
        <f t="shared" si="0"/>
        <v>1746.63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25.2</v>
      </c>
      <c r="C15" s="27">
        <f t="shared" si="1"/>
        <v>0</v>
      </c>
      <c r="D15" s="4">
        <v>6580</v>
      </c>
      <c r="F15" s="44">
        <v>1.2</v>
      </c>
      <c r="G15" s="44">
        <v>7.2</v>
      </c>
      <c r="H15" s="37">
        <f t="shared" si="0"/>
        <v>16.8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/>
    </row>
    <row r="16" spans="1:19" ht="18.75" thickBot="1" x14ac:dyDescent="0.3">
      <c r="A16" s="34" t="s">
        <v>33</v>
      </c>
      <c r="B16" s="51">
        <v>68.02</v>
      </c>
      <c r="C16" s="27">
        <f t="shared" si="1"/>
        <v>0</v>
      </c>
      <c r="D16" s="7">
        <v>2120</v>
      </c>
      <c r="F16" s="44">
        <v>3.77</v>
      </c>
      <c r="G16" s="44">
        <v>19.739999999999998</v>
      </c>
      <c r="H16" s="37">
        <f t="shared" si="0"/>
        <v>44.510000000000005</v>
      </c>
      <c r="I16" s="52">
        <v>1</v>
      </c>
      <c r="J16" s="10">
        <v>2120</v>
      </c>
      <c r="K16" s="21">
        <f>-H16</f>
        <v>-44.510000000000005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-40.059000000000005</v>
      </c>
      <c r="S16" s="32"/>
    </row>
    <row r="17" spans="1:26" x14ac:dyDescent="0.25">
      <c r="A17" s="34" t="s">
        <v>35</v>
      </c>
      <c r="B17" s="53">
        <v>24</v>
      </c>
      <c r="C17" s="27">
        <f t="shared" si="1"/>
        <v>0</v>
      </c>
      <c r="D17" s="54">
        <v>1830</v>
      </c>
      <c r="F17" s="41"/>
      <c r="G17" s="55"/>
      <c r="H17" s="37">
        <f t="shared" si="0"/>
        <v>24</v>
      </c>
      <c r="I17" s="12">
        <v>1</v>
      </c>
      <c r="J17" s="13">
        <v>1830</v>
      </c>
      <c r="K17" s="56">
        <f>ROUND(-H20-H27-H17-H18-H21-H26-H28,2)</f>
        <v>-1362.43</v>
      </c>
      <c r="M17" s="5" t="s">
        <v>36</v>
      </c>
      <c r="P17" s="5">
        <v>1</v>
      </c>
      <c r="Q17" s="13">
        <v>1830</v>
      </c>
      <c r="R17" s="33">
        <f>+K17*$R$6</f>
        <v>-1226.1870000000001</v>
      </c>
      <c r="S17" s="32"/>
    </row>
    <row r="18" spans="1:26" x14ac:dyDescent="0.25">
      <c r="A18" s="34" t="s">
        <v>37</v>
      </c>
      <c r="B18" s="57">
        <v>87.96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28.079999999999991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57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279.77999999999997</v>
      </c>
      <c r="M19" s="5" t="s">
        <v>40</v>
      </c>
      <c r="P19" s="5">
        <v>1</v>
      </c>
      <c r="Q19" s="13">
        <v>6300</v>
      </c>
      <c r="R19" s="33">
        <f>+K19*$R$6</f>
        <v>251.80199999999999</v>
      </c>
      <c r="S19" s="32"/>
    </row>
    <row r="20" spans="1:26" x14ac:dyDescent="0.25">
      <c r="A20" s="34" t="s">
        <v>41</v>
      </c>
      <c r="B20" s="57">
        <v>1911.32</v>
      </c>
      <c r="C20" s="27">
        <f t="shared" si="1"/>
        <v>0</v>
      </c>
      <c r="D20" s="4">
        <v>1830</v>
      </c>
      <c r="F20" s="41"/>
      <c r="G20" s="44">
        <v>809.87</v>
      </c>
      <c r="H20" s="37">
        <f t="shared" si="0"/>
        <v>1101.4499999999998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57">
        <v>206.96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80.960000000000008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57">
        <v>692.31</v>
      </c>
      <c r="C22" s="27">
        <f t="shared" si="1"/>
        <v>0</v>
      </c>
      <c r="F22" s="41"/>
      <c r="G22" s="55"/>
      <c r="H22" s="37">
        <f t="shared" si="0"/>
        <v>692.31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57">
        <v>2102.06</v>
      </c>
      <c r="C23" s="27">
        <f t="shared" si="1"/>
        <v>0</v>
      </c>
      <c r="D23" s="4">
        <v>6570</v>
      </c>
      <c r="F23" s="44">
        <v>172.48</v>
      </c>
      <c r="G23" s="44">
        <v>613.37</v>
      </c>
      <c r="H23" s="37">
        <f t="shared" si="0"/>
        <v>1316.21</v>
      </c>
      <c r="I23" s="12"/>
      <c r="J23" s="13"/>
      <c r="K23" s="59">
        <f>SUM(K7:K22)</f>
        <v>25382.61</v>
      </c>
      <c r="N23" s="1">
        <v>2040</v>
      </c>
      <c r="P23" s="5">
        <v>1</v>
      </c>
      <c r="Q23" s="13">
        <v>2040</v>
      </c>
      <c r="R23" s="60">
        <f>SUM(R7:R22)</f>
        <v>22844.348999999998</v>
      </c>
      <c r="S23" s="6"/>
    </row>
    <row r="24" spans="1:26" ht="18.75" thickTop="1" x14ac:dyDescent="0.25">
      <c r="A24" s="34" t="s">
        <v>48</v>
      </c>
      <c r="B24" s="57">
        <v>495.3</v>
      </c>
      <c r="C24" s="27">
        <f t="shared" si="1"/>
        <v>0</v>
      </c>
      <c r="F24" s="41"/>
      <c r="G24" s="44">
        <v>123.58</v>
      </c>
      <c r="H24" s="37">
        <f t="shared" si="0"/>
        <v>371.72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57">
        <v>389.23</v>
      </c>
      <c r="C25" s="27">
        <f t="shared" si="1"/>
        <v>0</v>
      </c>
      <c r="F25" s="44">
        <v>101.92</v>
      </c>
      <c r="G25" s="44"/>
      <c r="H25" s="37">
        <f t="shared" si="0"/>
        <v>287.31</v>
      </c>
      <c r="I25" s="61">
        <v>2</v>
      </c>
      <c r="J25" s="62"/>
      <c r="K25" s="32"/>
      <c r="Q25" s="62"/>
      <c r="R25" s="33"/>
    </row>
    <row r="26" spans="1:26" x14ac:dyDescent="0.25">
      <c r="A26" s="34" t="s">
        <v>50</v>
      </c>
      <c r="B26" s="57">
        <v>63.17</v>
      </c>
      <c r="C26" s="27">
        <f t="shared" si="1"/>
        <v>0</v>
      </c>
      <c r="D26" s="54">
        <v>1830</v>
      </c>
      <c r="F26" s="41"/>
      <c r="G26" s="55"/>
      <c r="H26" s="37">
        <f t="shared" si="0"/>
        <v>63.17</v>
      </c>
      <c r="I26" s="12">
        <v>2</v>
      </c>
      <c r="J26" s="13">
        <v>6500</v>
      </c>
      <c r="K26" s="32">
        <f>G7</f>
        <v>17618.849999999999</v>
      </c>
      <c r="M26" s="5" t="s">
        <v>51</v>
      </c>
      <c r="O26" s="32"/>
      <c r="P26" s="5">
        <v>2</v>
      </c>
      <c r="Q26" s="13">
        <v>6500</v>
      </c>
      <c r="R26" s="33">
        <f>+K26*R6</f>
        <v>15856.964999999998</v>
      </c>
      <c r="S26" s="32"/>
      <c r="X26" s="32"/>
    </row>
    <row r="27" spans="1:26" x14ac:dyDescent="0.25">
      <c r="A27" s="34" t="s">
        <v>52</v>
      </c>
      <c r="B27" s="57"/>
      <c r="C27" s="63">
        <f t="shared" si="1"/>
        <v>0</v>
      </c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64">
        <v>93.89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64.77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57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814.34</v>
      </c>
      <c r="M29" s="39" t="s">
        <v>21</v>
      </c>
      <c r="P29" s="5">
        <v>2</v>
      </c>
      <c r="Q29" s="13">
        <v>6580</v>
      </c>
      <c r="R29" s="33">
        <f>+K29*R6</f>
        <v>732.90600000000006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177.02</v>
      </c>
      <c r="M31" s="5" t="s">
        <v>25</v>
      </c>
      <c r="P31" s="5">
        <v>2</v>
      </c>
      <c r="Q31" s="13">
        <v>6570</v>
      </c>
      <c r="R31" s="33">
        <f>+K31*$R$6</f>
        <v>159.31800000000001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</f>
        <v>31801.05000000001</v>
      </c>
      <c r="C32" s="72">
        <f>B32-F32-G32-H32</f>
        <v>0</v>
      </c>
      <c r="D32" s="71"/>
      <c r="E32" s="71"/>
      <c r="F32" s="71">
        <f t="shared" ref="F32:H32" si="2">F7+F8+F10-F11-F12-F13-F14-F15-F16-F19-F29-F20-F26-F25-F28-F17-F21-F18-F23-F22-F24+F30+F31</f>
        <v>3746.38</v>
      </c>
      <c r="G32" s="71">
        <f t="shared" si="2"/>
        <v>17426.779999999995</v>
      </c>
      <c r="H32" s="71">
        <f t="shared" si="2"/>
        <v>10627.890000000003</v>
      </c>
      <c r="I32" s="12">
        <v>2</v>
      </c>
      <c r="J32" s="13">
        <v>6571</v>
      </c>
      <c r="K32" s="32">
        <f>G55</f>
        <v>366.06</v>
      </c>
      <c r="M32" s="43" t="s">
        <v>27</v>
      </c>
      <c r="P32" s="5">
        <v>2</v>
      </c>
      <c r="Q32" s="13">
        <v>6571</v>
      </c>
      <c r="R32" s="33">
        <f>+K32*$R$6</f>
        <v>329.45400000000001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/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-19.739999999999998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-17.765999999999998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-1014.12</v>
      </c>
      <c r="M36" s="5" t="s">
        <v>36</v>
      </c>
      <c r="O36" s="1"/>
      <c r="P36" s="5">
        <v>2</v>
      </c>
      <c r="Q36" s="13">
        <v>1830</v>
      </c>
      <c r="R36" s="33">
        <f>+K36*$R$6</f>
        <v>-912.70799999999997</v>
      </c>
      <c r="S36" s="32"/>
    </row>
    <row r="37" spans="1:22" x14ac:dyDescent="0.25">
      <c r="A37" s="25" t="s">
        <v>66</v>
      </c>
      <c r="B37" s="80">
        <f>B11</f>
        <v>2608.65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2608.65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610.05999999999995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610.05999999999995</v>
      </c>
      <c r="I38" s="12">
        <v>2</v>
      </c>
      <c r="J38" s="13">
        <v>6300</v>
      </c>
      <c r="K38" s="84">
        <f>ROUND(G70,2)</f>
        <v>139.88999999999999</v>
      </c>
      <c r="M38" s="5" t="s">
        <v>40</v>
      </c>
      <c r="O38" s="1"/>
      <c r="P38" s="5">
        <v>2</v>
      </c>
      <c r="Q38" s="13">
        <v>6300</v>
      </c>
      <c r="R38" s="33">
        <f>+K38*$R$6</f>
        <v>125.901</v>
      </c>
      <c r="S38" s="32"/>
    </row>
    <row r="39" spans="1:22" x14ac:dyDescent="0.25">
      <c r="A39" s="34" t="s">
        <v>68</v>
      </c>
      <c r="B39" s="83">
        <f>B13</f>
        <v>3184.05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3184.05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1746.63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1746.63</v>
      </c>
      <c r="I40" s="85"/>
      <c r="J40" s="5">
        <v>2040</v>
      </c>
      <c r="K40" s="86">
        <f>SUM(K26:K39)</f>
        <v>18082.3</v>
      </c>
      <c r="N40" s="1">
        <v>2040</v>
      </c>
      <c r="O40" s="1"/>
      <c r="P40" s="5">
        <v>2</v>
      </c>
      <c r="Q40" s="5">
        <v>2040</v>
      </c>
      <c r="R40" s="86">
        <f>SUM(R26:R39)</f>
        <v>16274.07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2608.64</v>
      </c>
      <c r="C42" s="27">
        <f>B42-F42-G42-H42</f>
        <v>0</v>
      </c>
      <c r="D42" s="4">
        <v>6580</v>
      </c>
      <c r="F42" s="90">
        <v>146.44999999999999</v>
      </c>
      <c r="G42" s="90">
        <v>746.62</v>
      </c>
      <c r="H42" s="37">
        <f>B42-F42-G42</f>
        <v>1715.5700000000002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610.11</v>
      </c>
      <c r="C43" s="27">
        <f>B43-F43-G43-H43</f>
        <v>0</v>
      </c>
      <c r="D43" s="4">
        <v>6580</v>
      </c>
      <c r="F43" s="90">
        <v>34.25</v>
      </c>
      <c r="G43" s="90">
        <v>74.62</v>
      </c>
      <c r="H43" s="37">
        <f>B43-F43-G43</f>
        <v>501.24</v>
      </c>
      <c r="I43" s="12">
        <v>3</v>
      </c>
      <c r="J43" s="13">
        <v>6500</v>
      </c>
      <c r="K43" s="92">
        <f>F7</f>
        <v>4036.5</v>
      </c>
      <c r="M43" s="5" t="s">
        <v>71</v>
      </c>
      <c r="O43" s="1"/>
      <c r="P43" s="5">
        <v>3</v>
      </c>
      <c r="Q43" s="13">
        <v>6500</v>
      </c>
      <c r="R43" s="33">
        <f>+K43*$R$6</f>
        <v>3632.85</v>
      </c>
      <c r="S43" s="32"/>
    </row>
    <row r="44" spans="1:22" x14ac:dyDescent="0.25">
      <c r="A44" s="34" t="s">
        <v>72</v>
      </c>
      <c r="B44" s="89">
        <v>10.94</v>
      </c>
      <c r="C44" s="27">
        <f>B44-F44-G44-H44</f>
        <v>0</v>
      </c>
      <c r="D44" s="4">
        <v>6580</v>
      </c>
      <c r="F44" s="90"/>
      <c r="G44" s="91">
        <v>0.3</v>
      </c>
      <c r="H44" s="37">
        <f>B44-G44-F44</f>
        <v>10.639999999999999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108.76</v>
      </c>
      <c r="C45" s="27">
        <f>B45-F45-G45-H45</f>
        <v>0</v>
      </c>
      <c r="D45" s="4">
        <v>6580</v>
      </c>
      <c r="F45" s="90"/>
      <c r="G45" s="94"/>
      <c r="H45" s="37">
        <f>B45-G45-F45</f>
        <v>108.76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4.7300000000000004</v>
      </c>
      <c r="C46" s="27">
        <f>B46-F46-G46-H46</f>
        <v>0</v>
      </c>
      <c r="F46" s="96"/>
      <c r="G46" s="96"/>
      <c r="H46" s="37">
        <f>B46-G46-F46</f>
        <v>4.7300000000000004</v>
      </c>
      <c r="I46" s="12">
        <v>3</v>
      </c>
      <c r="J46" s="13">
        <v>6580</v>
      </c>
      <c r="K46" s="32">
        <f>ROUND($F$42+$F$43+$F$44+$F$45-$F$15+$F$46,2)</f>
        <v>179.5</v>
      </c>
      <c r="M46" s="39" t="s">
        <v>21</v>
      </c>
      <c r="O46" s="1"/>
      <c r="P46" s="5">
        <v>3</v>
      </c>
      <c r="Q46" s="13">
        <v>6580</v>
      </c>
      <c r="R46" s="33">
        <f>+K46*$R$6</f>
        <v>161.55000000000001</v>
      </c>
      <c r="S46" s="32"/>
    </row>
    <row r="47" spans="1:22" ht="18.75" thickBot="1" x14ac:dyDescent="0.3">
      <c r="B47" s="97">
        <f>SUM(B42:B46)</f>
        <v>3343.1800000000003</v>
      </c>
      <c r="C47" s="27">
        <f>B48-F47-G47-H47</f>
        <v>0</v>
      </c>
      <c r="D47" s="7"/>
      <c r="E47" s="1"/>
      <c r="F47" s="97">
        <f>SUM(F37:F46)</f>
        <v>180.7</v>
      </c>
      <c r="G47" s="97">
        <f>SUM(G37:G46)</f>
        <v>821.54</v>
      </c>
      <c r="H47" s="71">
        <f>SUM(H37:H46)</f>
        <v>10490.33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11492.570000000002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46.63</v>
      </c>
      <c r="M48" s="5" t="s">
        <v>40</v>
      </c>
      <c r="O48" s="1"/>
      <c r="P48" s="5">
        <v>3</v>
      </c>
      <c r="Q48" s="13">
        <v>6300</v>
      </c>
      <c r="R48" s="33">
        <f>+K48*$R$6</f>
        <v>41.967000000000006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-3.77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-3.3930000000000002</v>
      </c>
      <c r="S50" s="32"/>
    </row>
    <row r="51" spans="1:23" x14ac:dyDescent="0.25">
      <c r="A51" s="25" t="s">
        <v>78</v>
      </c>
      <c r="B51" s="80">
        <f>B23</f>
        <v>2102.06</v>
      </c>
      <c r="C51" s="106"/>
      <c r="D51" s="28">
        <v>6570</v>
      </c>
      <c r="E51" s="29"/>
      <c r="F51" s="81">
        <f>F23</f>
        <v>172.48</v>
      </c>
      <c r="G51" s="107">
        <f>G23</f>
        <v>613.37</v>
      </c>
      <c r="H51" s="31">
        <f>B51-G51-F51</f>
        <v>1316.21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692.31</v>
      </c>
      <c r="C52" s="27"/>
      <c r="F52" s="6">
        <f>F22</f>
        <v>0</v>
      </c>
      <c r="G52" s="88">
        <f>G22</f>
        <v>0</v>
      </c>
      <c r="H52" s="37">
        <f>B52-F52-G52</f>
        <v>692.31</v>
      </c>
      <c r="I52" s="12">
        <v>3</v>
      </c>
      <c r="J52" s="13">
        <v>6570</v>
      </c>
      <c r="K52" s="32">
        <f>-$F$23+$F$51+$F$58</f>
        <v>59.01</v>
      </c>
      <c r="M52" s="5" t="s">
        <v>25</v>
      </c>
      <c r="O52" s="1"/>
      <c r="P52" s="5">
        <v>3</v>
      </c>
      <c r="Q52" s="13">
        <v>6570</v>
      </c>
      <c r="R52" s="33">
        <f>+K52</f>
        <v>59.01</v>
      </c>
      <c r="S52" s="32"/>
    </row>
    <row r="53" spans="1:23" x14ac:dyDescent="0.25">
      <c r="A53" s="34" t="s">
        <v>60</v>
      </c>
      <c r="B53" s="108">
        <f>SUM(B51:B52)</f>
        <v>2794.37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1489.14</v>
      </c>
      <c r="C55" s="111"/>
      <c r="D55" s="4">
        <v>6571</v>
      </c>
      <c r="F55" s="90">
        <v>98.56</v>
      </c>
      <c r="G55" s="90">
        <v>366.06</v>
      </c>
      <c r="H55" s="37">
        <f>B55-F55-G55</f>
        <v>1024.5200000000002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1648.62</v>
      </c>
      <c r="C56" s="111"/>
      <c r="D56" s="4">
        <v>6571</v>
      </c>
      <c r="F56" s="93"/>
      <c r="G56" s="93"/>
      <c r="H56" s="37">
        <f>B56-F56-G56</f>
        <v>1648.62</v>
      </c>
      <c r="I56" s="12"/>
      <c r="J56" s="13"/>
      <c r="K56" s="86">
        <f>SUM(K43:K55)</f>
        <v>4405.68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3990.5440000000003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590.05999999999995</v>
      </c>
      <c r="C58" s="111"/>
      <c r="D58" s="4">
        <v>6570</v>
      </c>
      <c r="F58" s="88">
        <f>ROUND(B58*10%,2)</f>
        <v>59.01</v>
      </c>
      <c r="G58" s="88">
        <f>ROUND(B58*30%,2)</f>
        <v>177.02</v>
      </c>
      <c r="H58" s="37">
        <f>ROUND(B58-F58-G58,2)</f>
        <v>354.03</v>
      </c>
      <c r="I58" s="52">
        <v>1</v>
      </c>
      <c r="J58" s="10">
        <v>1012</v>
      </c>
      <c r="K58" s="113">
        <f>-(K23+K40+K56+K74+K84+K90)-K59</f>
        <v>-49518.020000000004</v>
      </c>
      <c r="M58" s="1"/>
      <c r="N58" s="32">
        <f>+'[5]1012-CNB Checking'!$F$76</f>
        <v>49518.02</v>
      </c>
      <c r="O58" s="114">
        <f>+K58+N58</f>
        <v>0</v>
      </c>
      <c r="P58" s="32"/>
      <c r="R58" s="33"/>
    </row>
    <row r="59" spans="1:23" ht="18.75" thickTop="1" x14ac:dyDescent="0.25">
      <c r="A59" s="34" t="s">
        <v>48</v>
      </c>
      <c r="B59" s="83">
        <f>B24</f>
        <v>495.3</v>
      </c>
      <c r="C59" s="27"/>
      <c r="F59" s="88">
        <f>F24</f>
        <v>0</v>
      </c>
      <c r="G59" s="88">
        <f>G24</f>
        <v>123.58</v>
      </c>
      <c r="H59" s="37">
        <f>B59-F59-G59</f>
        <v>371.72</v>
      </c>
      <c r="I59" s="52">
        <v>1</v>
      </c>
      <c r="J59" s="10"/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389.23</v>
      </c>
      <c r="C60" s="27"/>
      <c r="F60" s="88">
        <f>F25</f>
        <v>101.92</v>
      </c>
      <c r="G60" s="88">
        <f>G25</f>
        <v>0</v>
      </c>
      <c r="H60" s="37">
        <f>B60-F60-G60</f>
        <v>287.31</v>
      </c>
      <c r="I60" s="115" t="s">
        <v>85</v>
      </c>
      <c r="K60" s="32"/>
      <c r="O60" s="1"/>
      <c r="R60" s="33"/>
    </row>
    <row r="61" spans="1:23" ht="18.75" thickBot="1" x14ac:dyDescent="0.3">
      <c r="A61" s="34" t="s">
        <v>60</v>
      </c>
      <c r="B61" s="116">
        <f>B53+B59+B60+B55+B58+B57</f>
        <v>5758.1</v>
      </c>
      <c r="C61" s="117"/>
      <c r="D61" s="7"/>
      <c r="E61" s="1"/>
      <c r="F61" s="71">
        <f>F51+F55</f>
        <v>271.03999999999996</v>
      </c>
      <c r="G61" s="71">
        <f>G51+G55</f>
        <v>979.43000000000006</v>
      </c>
      <c r="H61" s="118">
        <f>B61-G61</f>
        <v>4778.67</v>
      </c>
      <c r="I61" s="115">
        <v>1</v>
      </c>
      <c r="J61" s="119">
        <v>1831</v>
      </c>
      <c r="K61" s="120"/>
      <c r="M61" s="5" t="s">
        <v>42</v>
      </c>
      <c r="O61" s="121"/>
      <c r="P61" s="5">
        <v>1</v>
      </c>
      <c r="Q61" s="5">
        <v>1831</v>
      </c>
      <c r="R61" s="3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/>
      <c r="M62" s="5" t="s">
        <v>86</v>
      </c>
      <c r="O62" s="1"/>
      <c r="P62" s="5">
        <v>1</v>
      </c>
      <c r="Q62" s="5">
        <v>6551</v>
      </c>
      <c r="R62" s="3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5">
        <v>1</v>
      </c>
      <c r="Q63" s="5">
        <v>6551</v>
      </c>
      <c r="R63" s="3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5">
        <v>1</v>
      </c>
      <c r="Q64" s="5">
        <v>6630</v>
      </c>
      <c r="R64" s="3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>
        <v>34.619999999999997</v>
      </c>
      <c r="M65" s="5" t="s">
        <v>90</v>
      </c>
      <c r="O65" s="1"/>
      <c r="P65" s="5">
        <v>1</v>
      </c>
      <c r="Q65" s="5">
        <v>6630</v>
      </c>
      <c r="R65" s="3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v>26.87</v>
      </c>
      <c r="M66" s="5" t="s">
        <v>91</v>
      </c>
      <c r="O66" s="1"/>
      <c r="P66" s="5">
        <v>1</v>
      </c>
      <c r="Q66" s="5">
        <v>6565</v>
      </c>
      <c r="R66" s="3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5">
        <v>1</v>
      </c>
      <c r="Q67" s="5">
        <v>6560</v>
      </c>
      <c r="R67" s="33"/>
      <c r="S67" s="32"/>
    </row>
    <row r="68" spans="1:20" x14ac:dyDescent="0.25">
      <c r="F68" s="6"/>
      <c r="I68" s="85"/>
      <c r="K68" s="120"/>
      <c r="O68" s="1"/>
      <c r="R68" s="33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33"/>
    </row>
    <row r="70" spans="1:20" x14ac:dyDescent="0.25">
      <c r="A70" s="25" t="s">
        <v>94</v>
      </c>
      <c r="B70" s="26">
        <v>466.3</v>
      </c>
      <c r="C70" s="106"/>
      <c r="D70" s="28">
        <v>6300</v>
      </c>
      <c r="E70" s="29"/>
      <c r="F70" s="81">
        <f>B70*F69</f>
        <v>46.63</v>
      </c>
      <c r="G70" s="107">
        <f>B70*G69</f>
        <v>139.88999999999999</v>
      </c>
      <c r="H70" s="31">
        <f>B70*H69-0</f>
        <v>279.77999999999997</v>
      </c>
      <c r="I70" s="85"/>
      <c r="K70" s="120"/>
      <c r="O70" s="1"/>
      <c r="R70" s="33"/>
      <c r="T70" s="32"/>
    </row>
    <row r="71" spans="1:20" ht="21" thickBot="1" x14ac:dyDescent="0.35">
      <c r="A71" s="34" t="s">
        <v>60</v>
      </c>
      <c r="B71" s="116">
        <f>SUM(B70)</f>
        <v>466.3</v>
      </c>
      <c r="C71" s="117"/>
      <c r="D71" s="7"/>
      <c r="E71" s="1"/>
      <c r="F71" s="71">
        <f>F70</f>
        <v>46.63</v>
      </c>
      <c r="G71" s="71">
        <f>G70</f>
        <v>139.88999999999999</v>
      </c>
      <c r="H71" s="118">
        <f>H70</f>
        <v>279.77999999999997</v>
      </c>
      <c r="I71" s="85"/>
      <c r="J71" s="85"/>
      <c r="K71" s="120"/>
      <c r="M71" s="125"/>
      <c r="O71" s="1"/>
      <c r="R71" s="33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33"/>
    </row>
    <row r="73" spans="1:20" ht="18.75" thickBot="1" x14ac:dyDescent="0.3">
      <c r="F73" s="6"/>
      <c r="I73" s="85"/>
      <c r="K73" s="127"/>
      <c r="O73" s="1"/>
      <c r="R73" s="33"/>
    </row>
    <row r="74" spans="1:20" ht="18.75" thickBot="1" x14ac:dyDescent="0.3">
      <c r="A74" s="1" t="s">
        <v>96</v>
      </c>
      <c r="B74" s="128">
        <f>ROUND((B71+B66+B61+B48+B32),2)</f>
        <v>49518.02</v>
      </c>
      <c r="F74" s="6"/>
      <c r="I74" s="85" t="s">
        <v>97</v>
      </c>
      <c r="K74" s="129">
        <f>SUM(K61:K73)</f>
        <v>61.489999999999995</v>
      </c>
      <c r="O74" s="1"/>
      <c r="R74" s="33"/>
    </row>
    <row r="75" spans="1:20" ht="18.75" thickBot="1" x14ac:dyDescent="0.3">
      <c r="F75" s="6"/>
      <c r="I75" s="85">
        <v>2</v>
      </c>
      <c r="J75" s="119" t="s">
        <v>98</v>
      </c>
      <c r="K75" s="120"/>
      <c r="M75" s="5" t="s">
        <v>86</v>
      </c>
      <c r="O75" s="1"/>
      <c r="P75" s="5">
        <v>2</v>
      </c>
      <c r="Q75" s="119">
        <v>6551</v>
      </c>
      <c r="R75" s="33"/>
      <c r="S75" s="32"/>
    </row>
    <row r="76" spans="1:20" x14ac:dyDescent="0.25">
      <c r="A76" s="129" t="s">
        <v>99</v>
      </c>
      <c r="B76" s="26">
        <v>30152.43</v>
      </c>
      <c r="C76" s="130"/>
      <c r="D76" s="131" t="s">
        <v>100</v>
      </c>
      <c r="E76" s="6"/>
      <c r="F76" s="6"/>
      <c r="G76" s="132">
        <v>30152.43</v>
      </c>
      <c r="H76" s="6"/>
      <c r="I76" s="85">
        <v>2</v>
      </c>
      <c r="J76" s="119">
        <v>1831</v>
      </c>
      <c r="K76" s="120"/>
      <c r="M76" s="5" t="s">
        <v>42</v>
      </c>
      <c r="O76" s="1"/>
      <c r="P76" s="5">
        <v>2</v>
      </c>
      <c r="Q76" s="119">
        <v>6551</v>
      </c>
      <c r="R76" s="3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5">
        <v>2</v>
      </c>
      <c r="Q77" s="5">
        <v>6630</v>
      </c>
      <c r="R77" s="3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5">
        <v>2</v>
      </c>
      <c r="Q78" s="5">
        <v>6630</v>
      </c>
      <c r="R78" s="33"/>
      <c r="S78" s="32"/>
    </row>
    <row r="79" spans="1:20" ht="18.75" thickBot="1" x14ac:dyDescent="0.3">
      <c r="A79" s="134" t="s">
        <v>104</v>
      </c>
      <c r="B79" s="135">
        <f>ROUND(SUM(B76:B78),2)</f>
        <v>30152.43</v>
      </c>
      <c r="C79" s="130"/>
      <c r="D79" s="131"/>
      <c r="E79" s="6"/>
      <c r="F79" s="6"/>
      <c r="G79" s="129">
        <f>SUM(G76:G78)</f>
        <v>30152.43</v>
      </c>
      <c r="H79" s="6" t="s">
        <v>105</v>
      </c>
      <c r="I79" s="85">
        <v>2</v>
      </c>
      <c r="J79" s="5">
        <v>6551</v>
      </c>
      <c r="K79" s="120">
        <v>1574.4</v>
      </c>
      <c r="M79" s="5" t="s">
        <v>91</v>
      </c>
      <c r="O79" s="1"/>
      <c r="P79" s="5">
        <v>2</v>
      </c>
      <c r="Q79" s="5">
        <v>6565</v>
      </c>
      <c r="R79" s="33"/>
      <c r="S79" s="32"/>
    </row>
    <row r="80" spans="1:20" ht="18.75" thickBot="1" x14ac:dyDescent="0.3">
      <c r="A80" s="1" t="s">
        <v>106</v>
      </c>
      <c r="B80" s="26">
        <v>49051.72</v>
      </c>
      <c r="H80" s="128" t="str">
        <f>IF(B79-G79=0,"ok","NO")</f>
        <v>ok</v>
      </c>
      <c r="I80" s="85">
        <v>2</v>
      </c>
      <c r="J80" s="5">
        <v>6040</v>
      </c>
      <c r="K80" s="120"/>
      <c r="M80" s="5" t="s">
        <v>131</v>
      </c>
      <c r="O80" s="1"/>
      <c r="P80" s="5">
        <v>2</v>
      </c>
      <c r="Q80" s="119" t="s">
        <v>107</v>
      </c>
      <c r="R80" s="33"/>
      <c r="S80" s="32"/>
    </row>
    <row r="81" spans="1:19" ht="18.75" thickBot="1" x14ac:dyDescent="0.3">
      <c r="A81" s="1" t="s">
        <v>94</v>
      </c>
      <c r="B81" s="3">
        <f>B66+B71</f>
        <v>466.3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33"/>
      <c r="S81" s="32"/>
    </row>
    <row r="82" spans="1:19" ht="18.75" thickBot="1" x14ac:dyDescent="0.3">
      <c r="B82" s="3">
        <f>+B80+B81</f>
        <v>49518.020000000004</v>
      </c>
      <c r="C82" s="128" t="str">
        <f>IF(B74=B82,"ok","NO")</f>
        <v>ok</v>
      </c>
      <c r="F82" s="136"/>
      <c r="I82" s="85"/>
      <c r="J82" s="119"/>
      <c r="K82" s="127"/>
      <c r="O82" s="1"/>
      <c r="R82" s="33"/>
    </row>
    <row r="83" spans="1:19" ht="18.75" thickBot="1" x14ac:dyDescent="0.3">
      <c r="A83" s="5"/>
      <c r="B83" s="137">
        <f>+B82-B74-B77</f>
        <v>7.2759576141834259E-12</v>
      </c>
      <c r="I83" s="85"/>
      <c r="J83" s="119"/>
      <c r="K83" s="127"/>
      <c r="O83" s="1"/>
    </row>
    <row r="84" spans="1:19" x14ac:dyDescent="0.25">
      <c r="G84" s="32"/>
      <c r="I84" s="85"/>
      <c r="K84" s="129">
        <f>SUM(K75:K83)</f>
        <v>1585.94</v>
      </c>
      <c r="O84" s="1"/>
      <c r="P84" s="5">
        <v>3</v>
      </c>
      <c r="Q84" s="5">
        <v>6551</v>
      </c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5"/>
      <c r="S85" s="32"/>
    </row>
    <row r="86" spans="1:19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5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112</v>
      </c>
      <c r="N88" s="5"/>
      <c r="O88" s="1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1647.43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7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D510E-F154-4D44-B75B-0054427AEABB}">
  <sheetPr>
    <tabColor rgb="FF00B0F0"/>
    <pageSetUpPr fitToPage="1"/>
  </sheetPr>
  <dimension ref="A2:Y100"/>
  <sheetViews>
    <sheetView topLeftCell="A35" zoomScale="70" zoomScaleNormal="70" zoomScalePageLayoutView="70" workbookViewId="0">
      <selection activeCell="AC75" sqref="AC75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2.8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32" width="10.5" style="5"/>
    <col min="33" max="33" width="19.75" style="5" bestFit="1" customWidth="1"/>
    <col min="34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43573</v>
      </c>
      <c r="K2" s="9"/>
      <c r="M2" s="5" t="s">
        <v>1</v>
      </c>
    </row>
    <row r="3" spans="1:24" ht="18.75" thickBot="1" x14ac:dyDescent="0.3">
      <c r="A3" s="10" t="s">
        <v>2</v>
      </c>
      <c r="B3" s="8">
        <v>43555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B6" s="74"/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>
        <f>3141.36+216</f>
        <v>3357.36</v>
      </c>
      <c r="C7" s="27"/>
      <c r="D7" s="28"/>
      <c r="E7" s="29"/>
      <c r="F7" s="30"/>
      <c r="G7" s="146">
        <v>666.68</v>
      </c>
      <c r="H7" s="37">
        <f t="shared" ref="H7:H32" si="0">B7-F7-G7</f>
        <v>2690.6800000000003</v>
      </c>
      <c r="I7" s="12">
        <v>1</v>
      </c>
      <c r="J7" s="13">
        <v>6510</v>
      </c>
      <c r="K7" s="32">
        <f>+H7</f>
        <v>2690.6800000000003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>
        <v>5167.7299999999996</v>
      </c>
      <c r="C8" s="27"/>
      <c r="F8" s="127"/>
      <c r="G8" s="36">
        <v>2768.83</v>
      </c>
      <c r="H8" s="37">
        <f t="shared" si="0"/>
        <v>2398.8999999999996</v>
      </c>
      <c r="I8" s="12">
        <v>1</v>
      </c>
      <c r="J8" s="13">
        <v>6505</v>
      </c>
      <c r="K8" s="32">
        <f>+H8</f>
        <v>2398.8999999999996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/>
      <c r="C9" s="27"/>
      <c r="D9" s="4">
        <v>6500</v>
      </c>
      <c r="F9" s="127"/>
      <c r="G9" s="36"/>
      <c r="H9" s="37">
        <f t="shared" si="0"/>
        <v>0</v>
      </c>
      <c r="I9" s="12">
        <v>1</v>
      </c>
      <c r="J9" s="13">
        <v>6500</v>
      </c>
      <c r="K9" s="32">
        <f>+H9</f>
        <v>0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27"/>
      <c r="F10" s="148"/>
      <c r="G10" s="148"/>
      <c r="H10" s="37">
        <f t="shared" si="0"/>
        <v>0</v>
      </c>
      <c r="I10" s="12">
        <v>1</v>
      </c>
      <c r="J10" s="13">
        <v>6580</v>
      </c>
      <c r="K10" s="32">
        <f>ROUND(H43+H44+H45+H46-H16+H47,2)</f>
        <v>670.49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27"/>
      <c r="F11" s="150"/>
      <c r="G11" s="150"/>
      <c r="H11" s="37">
        <f t="shared" si="0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528.54</v>
      </c>
      <c r="C12" s="27"/>
      <c r="F12" s="41"/>
      <c r="G12" s="41"/>
      <c r="H12" s="37">
        <f>B12-F12-G12</f>
        <v>528.54</v>
      </c>
      <c r="I12" s="12">
        <v>1</v>
      </c>
      <c r="J12" s="13">
        <v>6570</v>
      </c>
      <c r="K12" s="32">
        <f>-H24+H52+H59</f>
        <v>72.835449244524114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123.61</v>
      </c>
      <c r="C13" s="27"/>
      <c r="F13" s="41"/>
      <c r="G13" s="41"/>
      <c r="H13" s="37">
        <f t="shared" si="0"/>
        <v>123.61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>
        <v>38.44</v>
      </c>
      <c r="C14" s="27"/>
      <c r="F14" s="41"/>
      <c r="G14" s="41"/>
      <c r="H14" s="37">
        <f t="shared" si="0"/>
        <v>38.44</v>
      </c>
      <c r="I14" s="12">
        <v>1</v>
      </c>
      <c r="J14" s="13">
        <v>6571</v>
      </c>
      <c r="K14" s="32">
        <f>+H56</f>
        <v>321.56</v>
      </c>
      <c r="L14" s="145"/>
      <c r="M14" s="5" t="s">
        <v>61</v>
      </c>
      <c r="P14" s="1"/>
    </row>
    <row r="15" spans="1:24" x14ac:dyDescent="0.25">
      <c r="A15" s="34" t="s">
        <v>28</v>
      </c>
      <c r="B15" s="151">
        <v>53.65</v>
      </c>
      <c r="C15" s="27"/>
      <c r="F15" s="41"/>
      <c r="G15" s="41"/>
      <c r="H15" s="37">
        <f t="shared" si="0"/>
        <v>53.65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>
        <v>1.2</v>
      </c>
      <c r="C16" s="27"/>
      <c r="F16" s="152"/>
      <c r="G16" s="44"/>
      <c r="H16" s="37">
        <f t="shared" si="0"/>
        <v>1.2</v>
      </c>
      <c r="I16" s="52">
        <v>1</v>
      </c>
      <c r="J16" s="10">
        <v>2120</v>
      </c>
      <c r="K16" s="21">
        <f>-H17</f>
        <v>-13.05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1">SUM(R7:R15)</f>
        <v>779.02</v>
      </c>
      <c r="S16" s="154">
        <f t="shared" si="1"/>
        <v>944.95</v>
      </c>
      <c r="T16" s="154">
        <f t="shared" si="1"/>
        <v>348.52</v>
      </c>
      <c r="U16" s="154">
        <f t="shared" si="1"/>
        <v>1512.56</v>
      </c>
      <c r="V16" s="154">
        <f t="shared" si="1"/>
        <v>670.31999999999994</v>
      </c>
      <c r="W16" s="154">
        <f t="shared" si="1"/>
        <v>4475.92</v>
      </c>
      <c r="X16" s="154">
        <f t="shared" si="1"/>
        <v>1797.86</v>
      </c>
    </row>
    <row r="17" spans="1:25" ht="19.5" thickTop="1" thickBot="1" x14ac:dyDescent="0.3">
      <c r="A17" s="34" t="s">
        <v>33</v>
      </c>
      <c r="B17" s="151">
        <v>13.05</v>
      </c>
      <c r="C17" s="27"/>
      <c r="F17" s="152"/>
      <c r="G17" s="44"/>
      <c r="H17" s="37">
        <f t="shared" si="0"/>
        <v>13.05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27"/>
      <c r="D18" s="54"/>
      <c r="E18" s="5"/>
      <c r="F18" s="41"/>
      <c r="G18" s="55"/>
      <c r="H18" s="37">
        <f t="shared" si="0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27"/>
      <c r="D19" s="54"/>
      <c r="E19" s="5"/>
      <c r="F19" s="41"/>
      <c r="G19" s="44"/>
      <c r="H19" s="37">
        <f t="shared" si="0"/>
        <v>0</v>
      </c>
      <c r="I19" s="12">
        <v>1</v>
      </c>
      <c r="J19" s="13">
        <v>6300</v>
      </c>
      <c r="K19" s="82">
        <f>ROUND(H72,2)</f>
        <v>-239.92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27"/>
      <c r="D20" s="4"/>
      <c r="E20" s="5"/>
      <c r="F20" s="41"/>
      <c r="G20" s="55"/>
      <c r="H20" s="37">
        <f t="shared" si="0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27"/>
      <c r="D21" s="4"/>
      <c r="E21" s="5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27"/>
      <c r="D22" s="54"/>
      <c r="E22" s="5"/>
      <c r="F22" s="41"/>
      <c r="G22" s="44"/>
      <c r="H22" s="37">
        <f t="shared" si="0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27"/>
      <c r="D23" s="4"/>
      <c r="E23" s="5"/>
      <c r="F23" s="41"/>
      <c r="G23" s="55"/>
      <c r="H23" s="37">
        <f t="shared" si="0"/>
        <v>0</v>
      </c>
      <c r="I23" s="12"/>
      <c r="J23" s="13"/>
      <c r="K23" s="59">
        <f>SUM(K7:K22)</f>
        <v>5901.495449244524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>
        <v>430.83</v>
      </c>
      <c r="C24" s="27"/>
      <c r="D24" s="4"/>
      <c r="E24" s="5"/>
      <c r="F24" s="44"/>
      <c r="G24" s="44"/>
      <c r="H24" s="37">
        <f t="shared" si="0"/>
        <v>430.83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27"/>
      <c r="D25" s="4"/>
      <c r="E25" s="5"/>
      <c r="F25" s="41"/>
      <c r="G25" s="44"/>
      <c r="H25" s="37">
        <f t="shared" si="0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27"/>
      <c r="D26" s="4"/>
      <c r="E26" s="5"/>
      <c r="F26" s="44"/>
      <c r="G26" s="44"/>
      <c r="H26" s="37">
        <f t="shared" si="0"/>
        <v>0</v>
      </c>
      <c r="I26" s="12">
        <v>2</v>
      </c>
      <c r="J26" s="13">
        <v>6510</v>
      </c>
      <c r="K26" s="32">
        <f>+G7</f>
        <v>666.68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27"/>
      <c r="D27" s="54"/>
      <c r="E27" s="5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2768.83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63"/>
      <c r="D28" s="4"/>
      <c r="E28" s="5"/>
      <c r="F28" s="41"/>
      <c r="G28" s="55"/>
      <c r="H28" s="37">
        <f t="shared" si="0"/>
        <v>0</v>
      </c>
      <c r="I28" s="12">
        <v>2</v>
      </c>
      <c r="J28" s="13">
        <v>6500</v>
      </c>
      <c r="K28" s="32">
        <f>+G9</f>
        <v>0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27"/>
      <c r="D29" s="54"/>
      <c r="E29" s="5"/>
      <c r="F29" s="41"/>
      <c r="G29" s="44"/>
      <c r="H29" s="37">
        <f t="shared" si="0"/>
        <v>0</v>
      </c>
      <c r="I29" s="12">
        <v>2</v>
      </c>
      <c r="J29" s="13">
        <v>6580</v>
      </c>
      <c r="K29" s="32">
        <f>-G16+G43+G44+G45+G46+G47</f>
        <v>0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65"/>
      <c r="D30" s="54"/>
      <c r="E30" s="5"/>
      <c r="F30" s="66"/>
      <c r="G30" s="67"/>
      <c r="H30" s="37">
        <f t="shared" si="0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27"/>
      <c r="D31" s="4"/>
      <c r="E31" s="5"/>
      <c r="F31" s="68"/>
      <c r="G31" s="67"/>
      <c r="H31" s="37">
        <f t="shared" si="0"/>
        <v>0</v>
      </c>
      <c r="I31" s="12">
        <v>2</v>
      </c>
      <c r="J31" s="13">
        <v>6570</v>
      </c>
      <c r="K31" s="32">
        <f>-G24+G52+G59</f>
        <v>49.164550755475894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27">
        <f t="shared" ref="C32" si="2">B32-F32-G32-H32</f>
        <v>0</v>
      </c>
      <c r="D32" s="4">
        <v>6500</v>
      </c>
      <c r="E32" s="5"/>
      <c r="F32" s="69"/>
      <c r="G32" s="70"/>
      <c r="H32" s="37">
        <f t="shared" si="0"/>
        <v>0</v>
      </c>
      <c r="I32" s="12">
        <v>2</v>
      </c>
      <c r="J32" s="13">
        <v>6571</v>
      </c>
      <c r="K32" s="32">
        <f>G56</f>
        <v>0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7335.7700000000013</v>
      </c>
      <c r="C33" s="72">
        <f>B33-F33-G33-H33</f>
        <v>-13.049999999999727</v>
      </c>
      <c r="D33" s="71"/>
      <c r="E33" s="71"/>
      <c r="F33" s="71">
        <f>F7+F8+F10+F11-F12-F13-F14-F15-F16-F30-F21-F27-F26-F29-F18-F22-F19-F24-F23-F25+F31+F32</f>
        <v>0</v>
      </c>
      <c r="G33" s="71">
        <f>G7+G8+G10+G11-G12-G13-G14-G15-G16-G30-G21-G27-G26-G29-G18-G22-G19-G24-G23-G25+G31+G32</f>
        <v>3435.5099999999998</v>
      </c>
      <c r="H33" s="71">
        <f>H7+H8+H10+H11-H12-H13-H14-H15-H16-H30-H21-H27-H26-H29-H18-H22-H19-H24-H23-H25+H31+H32-H20-H28</f>
        <v>3913.3100000000013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0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528.54</v>
      </c>
      <c r="C38" s="27">
        <f>B38-F38-G38-H38</f>
        <v>0</v>
      </c>
      <c r="D38" s="28">
        <v>2100</v>
      </c>
      <c r="E38" s="29"/>
      <c r="F38" s="81">
        <v>0</v>
      </c>
      <c r="G38" s="80">
        <v>0</v>
      </c>
      <c r="H38" s="31">
        <f>B38-G38-F38</f>
        <v>528.54</v>
      </c>
      <c r="I38" s="12">
        <v>2</v>
      </c>
      <c r="J38" s="13">
        <v>6300</v>
      </c>
      <c r="K38" s="84">
        <f>ROUND(G72,2)</f>
        <v>-119.96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123.61</v>
      </c>
      <c r="C39" s="27">
        <f>B39-F39-G39-H39</f>
        <v>0</v>
      </c>
      <c r="D39" s="4">
        <v>2100</v>
      </c>
      <c r="E39" s="5"/>
      <c r="F39" s="6">
        <v>0</v>
      </c>
      <c r="G39" s="83">
        <v>0</v>
      </c>
      <c r="H39" s="37">
        <f>B39-G39-F39</f>
        <v>123.61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38.44</v>
      </c>
      <c r="C40" s="27">
        <f>B40-F40-G40-H40</f>
        <v>0</v>
      </c>
      <c r="D40" s="4">
        <v>2110</v>
      </c>
      <c r="E40" s="5"/>
      <c r="F40" s="6">
        <v>0</v>
      </c>
      <c r="G40" s="83">
        <v>0</v>
      </c>
      <c r="H40" s="37">
        <f>B40-G40-F40</f>
        <v>38.44</v>
      </c>
      <c r="I40" s="85"/>
      <c r="J40" s="5"/>
      <c r="K40" s="86">
        <f>SUM(K26:K39)</f>
        <v>3364.7145507554756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53.65</v>
      </c>
      <c r="C41" s="27">
        <f>B41-F41-G41-H41</f>
        <v>0</v>
      </c>
      <c r="D41" s="4">
        <v>2120</v>
      </c>
      <c r="E41" s="5"/>
      <c r="F41" s="6">
        <v>0</v>
      </c>
      <c r="G41" s="83">
        <v>0</v>
      </c>
      <c r="H41" s="37">
        <f>B41-G41-F41</f>
        <v>53.65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528.55999999999995</v>
      </c>
      <c r="C43" s="27">
        <f>B43-F43-G43-H43</f>
        <v>0</v>
      </c>
      <c r="D43" s="4">
        <v>6580</v>
      </c>
      <c r="E43" s="5"/>
      <c r="F43" s="90"/>
      <c r="G43" s="90"/>
      <c r="H43" s="37">
        <f>B43-F43-G43</f>
        <v>528.55999999999995</v>
      </c>
      <c r="I43" s="12">
        <v>3</v>
      </c>
      <c r="J43" s="13">
        <v>6510</v>
      </c>
      <c r="K43" s="92">
        <f>+F7</f>
        <v>0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123.61</v>
      </c>
      <c r="C44" s="27">
        <f>B44-F44-G44-H44</f>
        <v>0</v>
      </c>
      <c r="D44" s="4">
        <v>6580</v>
      </c>
      <c r="E44" s="5"/>
      <c r="F44" s="90"/>
      <c r="G44" s="90"/>
      <c r="H44" s="37">
        <f>B44-F44-G44</f>
        <v>123.61</v>
      </c>
      <c r="I44" s="12">
        <v>3</v>
      </c>
      <c r="J44" s="13">
        <v>6505</v>
      </c>
      <c r="K44" s="92">
        <f>+F8</f>
        <v>0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>
        <v>2.1</v>
      </c>
      <c r="C45" s="27">
        <f>B45-F45-G45-H45</f>
        <v>0</v>
      </c>
      <c r="D45" s="4">
        <v>6580</v>
      </c>
      <c r="E45" s="5"/>
      <c r="F45" s="90"/>
      <c r="G45" s="91"/>
      <c r="H45" s="37">
        <f>B45-G45-F45</f>
        <v>2.1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>
        <v>16.7</v>
      </c>
      <c r="C46" s="27">
        <f>B46-F46-G46-H46</f>
        <v>0</v>
      </c>
      <c r="D46" s="4">
        <v>6580</v>
      </c>
      <c r="E46" s="5"/>
      <c r="F46" s="93"/>
      <c r="G46" s="94"/>
      <c r="H46" s="37">
        <f>B46-G46-F46</f>
        <v>16.7</v>
      </c>
      <c r="I46" s="12">
        <v>3</v>
      </c>
      <c r="J46" s="13">
        <v>6580</v>
      </c>
      <c r="K46" s="92">
        <f>-F16+F43+F44+F45+F46+F47</f>
        <v>0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>
        <v>0.72</v>
      </c>
      <c r="C47" s="27">
        <f>B47-F47-G47-H47</f>
        <v>0</v>
      </c>
      <c r="D47" s="4"/>
      <c r="E47" s="5"/>
      <c r="F47" s="95"/>
      <c r="G47" s="96"/>
      <c r="H47" s="37">
        <f>B47-G47-F47</f>
        <v>0.72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671.69</v>
      </c>
      <c r="C48" s="27">
        <f>B49-F48-G48-H48</f>
        <v>0</v>
      </c>
      <c r="D48" s="7"/>
      <c r="E48" s="1"/>
      <c r="F48" s="97">
        <f>SUM(F38:F47)</f>
        <v>0</v>
      </c>
      <c r="G48" s="97">
        <f>SUM(G38:G47)</f>
        <v>0</v>
      </c>
      <c r="H48" s="71">
        <f>SUM(H38:H47)</f>
        <v>1415.9299999999996</v>
      </c>
      <c r="I48" s="12">
        <v>3</v>
      </c>
      <c r="J48" s="13">
        <v>6300</v>
      </c>
      <c r="K48" s="92">
        <f>ROUND(F72,2)</f>
        <v>-39.99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5" s="33" customFormat="1" ht="19.5" thickTop="1" thickBot="1" x14ac:dyDescent="0.3">
      <c r="A49" s="34" t="s">
        <v>60</v>
      </c>
      <c r="B49" s="98">
        <f>SUM(B38:B47)</f>
        <v>1415.9299999999996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5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0</v>
      </c>
      <c r="L50" s="1"/>
      <c r="M50" s="1" t="s">
        <v>34</v>
      </c>
      <c r="N50" s="1"/>
      <c r="O50" s="1"/>
      <c r="P50" s="1"/>
    </row>
    <row r="51" spans="1:25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5" x14ac:dyDescent="0.25">
      <c r="A52" s="25" t="s">
        <v>78</v>
      </c>
      <c r="B52" s="80">
        <f>B24</f>
        <v>430.83</v>
      </c>
      <c r="C52" s="106"/>
      <c r="D52" s="28">
        <v>6570</v>
      </c>
      <c r="E52" s="29"/>
      <c r="F52" s="81">
        <f>F24</f>
        <v>0</v>
      </c>
      <c r="G52" s="107">
        <f>G24</f>
        <v>0</v>
      </c>
      <c r="H52" s="31">
        <f>B52-G52-F52</f>
        <v>430.83</v>
      </c>
      <c r="I52" s="12">
        <v>3</v>
      </c>
      <c r="J52" s="13">
        <v>6570</v>
      </c>
      <c r="K52" s="92">
        <f>F59</f>
        <v>0</v>
      </c>
      <c r="M52" s="5" t="s">
        <v>25</v>
      </c>
      <c r="O52" s="1"/>
      <c r="P52" s="1"/>
    </row>
    <row r="53" spans="1:25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0</v>
      </c>
      <c r="M53" s="5" t="s">
        <v>27</v>
      </c>
      <c r="O53" s="1"/>
      <c r="P53" s="1"/>
    </row>
    <row r="54" spans="1:25" x14ac:dyDescent="0.25">
      <c r="A54" s="34" t="s">
        <v>60</v>
      </c>
      <c r="B54" s="108">
        <f>SUM(B52:B53)</f>
        <v>430.83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5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5" ht="18.75" thickBot="1" x14ac:dyDescent="0.3">
      <c r="A56" s="34" t="s">
        <v>80</v>
      </c>
      <c r="B56" s="110">
        <v>321.56</v>
      </c>
      <c r="C56" s="111"/>
      <c r="D56" s="4">
        <v>6571</v>
      </c>
      <c r="F56" s="90"/>
      <c r="G56" s="91"/>
      <c r="H56" s="37">
        <f>B56-F56-G56</f>
        <v>321.56</v>
      </c>
      <c r="I56" s="12"/>
      <c r="J56" s="13"/>
      <c r="K56" s="86">
        <f>SUM(K43:K55)</f>
        <v>-39.99</v>
      </c>
      <c r="L56" s="1"/>
      <c r="N56" s="1">
        <v>2040</v>
      </c>
      <c r="O56" s="1"/>
      <c r="P56" s="1"/>
      <c r="Q56" s="33">
        <f>+O58+K58</f>
        <v>0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5" ht="18.75" thickTop="1" x14ac:dyDescent="0.25">
      <c r="A57" s="34" t="s">
        <v>61</v>
      </c>
      <c r="B57" s="112">
        <v>78.83</v>
      </c>
      <c r="C57" s="111"/>
      <c r="D57" s="4">
        <v>6571</v>
      </c>
      <c r="F57" s="93"/>
      <c r="G57" s="157"/>
      <c r="H57" s="37">
        <f>B57-F57-G57</f>
        <v>78.83</v>
      </c>
      <c r="I57" s="12"/>
      <c r="J57" s="13"/>
      <c r="K57" s="32"/>
      <c r="M57" s="1" t="s">
        <v>83</v>
      </c>
      <c r="O57" s="1"/>
      <c r="P57" s="1"/>
    </row>
    <row r="58" spans="1:25" ht="18.75" thickBot="1" x14ac:dyDescent="0.3">
      <c r="A58" s="34" t="s">
        <v>82</v>
      </c>
      <c r="B58" s="83">
        <f>+B20</f>
        <v>0</v>
      </c>
      <c r="C58" s="111"/>
      <c r="F58" s="6"/>
      <c r="G58" s="88"/>
      <c r="H58" s="37">
        <f>B58-F58-G58</f>
        <v>0</v>
      </c>
      <c r="I58" s="52">
        <v>1</v>
      </c>
      <c r="J58" s="10">
        <v>1012</v>
      </c>
      <c r="K58" s="113">
        <f>-(K23+K40+K56+K76+K83+K88)-K59-K60</f>
        <v>-9226.2199999999993</v>
      </c>
      <c r="M58" s="1"/>
      <c r="O58" s="114">
        <f>+'[5]1012-CNB Checking'!$F$77</f>
        <v>9226.2199999999993</v>
      </c>
      <c r="P58" s="114"/>
      <c r="Y58" s="32">
        <f>+K58+O58</f>
        <v>0</v>
      </c>
    </row>
    <row r="59" spans="1:25" ht="18.75" thickTop="1" x14ac:dyDescent="0.25">
      <c r="A59" s="34" t="s">
        <v>25</v>
      </c>
      <c r="B59" s="110">
        <v>122</v>
      </c>
      <c r="C59" s="111"/>
      <c r="D59" s="4">
        <v>6570</v>
      </c>
      <c r="F59" s="160">
        <f>+((F7+F8)/(B8+B7))*B59</f>
        <v>0</v>
      </c>
      <c r="G59" s="88">
        <f>+((G7+G8)/(B7+B8))*B59</f>
        <v>49.164550755475894</v>
      </c>
      <c r="H59" s="37">
        <f>+B59-F59-G59</f>
        <v>72.835449244524114</v>
      </c>
      <c r="I59" s="85">
        <v>1</v>
      </c>
      <c r="K59" s="21"/>
      <c r="O59" s="21"/>
      <c r="P59" s="1"/>
    </row>
    <row r="60" spans="1:25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85">
        <v>1</v>
      </c>
      <c r="K60" s="21"/>
      <c r="O60" s="21"/>
      <c r="P60" s="1"/>
    </row>
    <row r="61" spans="1:25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>B61-F61-G61</f>
        <v>0</v>
      </c>
      <c r="I61" s="85"/>
      <c r="K61" s="21"/>
      <c r="O61" s="21"/>
      <c r="P61" s="1"/>
    </row>
    <row r="62" spans="1:25" ht="18.75" thickBot="1" x14ac:dyDescent="0.3">
      <c r="A62" s="34" t="s">
        <v>60</v>
      </c>
      <c r="B62" s="116">
        <f>B54+B60+B61+B56+B59+B58</f>
        <v>874.39</v>
      </c>
      <c r="C62" s="117"/>
      <c r="D62" s="7"/>
      <c r="E62" s="1"/>
      <c r="F62" s="71">
        <f>F52+F56</f>
        <v>0</v>
      </c>
      <c r="G62" s="71">
        <f>G52+G56</f>
        <v>0</v>
      </c>
      <c r="H62" s="118">
        <f>B62-G62</f>
        <v>874.39</v>
      </c>
      <c r="I62" s="115" t="s">
        <v>85</v>
      </c>
      <c r="K62" s="32"/>
      <c r="O62" s="1"/>
      <c r="P62" s="1"/>
    </row>
    <row r="63" spans="1:25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5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v>0.1</v>
      </c>
      <c r="G65" s="123">
        <v>0.3</v>
      </c>
      <c r="H65" s="123">
        <v>0.6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0.1</v>
      </c>
      <c r="G70" s="123">
        <f>G65</f>
        <v>0.3</v>
      </c>
      <c r="H70" s="123">
        <f>H65</f>
        <v>0.6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>
        <v>-399.87</v>
      </c>
      <c r="C71" s="106"/>
      <c r="D71" s="28">
        <v>6300</v>
      </c>
      <c r="E71" s="29"/>
      <c r="F71" s="81">
        <f>+B71*F70</f>
        <v>-39.987000000000002</v>
      </c>
      <c r="G71" s="81">
        <f>+B71*G70</f>
        <v>-119.961</v>
      </c>
      <c r="H71" s="81">
        <f>+B71*H70</f>
        <v>-239.922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-399.87</v>
      </c>
      <c r="C72" s="117"/>
      <c r="D72" s="7"/>
      <c r="E72" s="1"/>
      <c r="F72" s="71">
        <f>F71</f>
        <v>-39.987000000000002</v>
      </c>
      <c r="G72" s="71">
        <f>G71</f>
        <v>-119.961</v>
      </c>
      <c r="H72" s="118">
        <f>H71</f>
        <v>-239.922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9226.2199999999993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7256.94</v>
      </c>
      <c r="C77" s="130"/>
      <c r="D77" s="131" t="s">
        <v>100</v>
      </c>
      <c r="E77" s="6"/>
      <c r="F77" s="6"/>
      <c r="G77" s="132"/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7256.94</v>
      </c>
      <c r="C80" s="130"/>
      <c r="D80" s="131"/>
      <c r="E80" s="6"/>
      <c r="F80" s="6"/>
      <c r="G80" s="129">
        <f>SUM(G77:G79)</f>
        <v>0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9626.09</v>
      </c>
      <c r="C81" s="3"/>
      <c r="D81" s="4"/>
      <c r="E81" s="5"/>
      <c r="F81" s="5"/>
      <c r="G81" s="5"/>
      <c r="H81" s="128" t="str">
        <f>IF(B80-G80=0,"ok","NO")</f>
        <v>NO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-399.87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9226.2199999999993</v>
      </c>
      <c r="C83" s="128" t="str">
        <f>IF(B75=B83,"ok","NO")</f>
        <v>ok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0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C8C6F-EC11-4392-AFBA-56FE77DEF464}">
  <sheetPr>
    <tabColor rgb="FF00B0F0"/>
    <pageSetUpPr fitToPage="1"/>
  </sheetPr>
  <dimension ref="A2:Y100"/>
  <sheetViews>
    <sheetView zoomScale="70" zoomScaleNormal="70" zoomScalePageLayoutView="70" workbookViewId="0">
      <selection activeCell="J31" sqref="J31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2.8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32" width="10.5" style="5"/>
    <col min="33" max="33" width="19.75" style="5" bestFit="1" customWidth="1"/>
    <col min="34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43584</v>
      </c>
      <c r="K2" s="9"/>
      <c r="M2" s="5" t="s">
        <v>1</v>
      </c>
    </row>
    <row r="3" spans="1:24" ht="18.75" thickBot="1" x14ac:dyDescent="0.3">
      <c r="A3" s="10" t="s">
        <v>2</v>
      </c>
      <c r="B3" s="8">
        <v>43555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B6" s="74"/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>
        <v>100</v>
      </c>
      <c r="C7" s="27"/>
      <c r="D7" s="28"/>
      <c r="E7" s="29"/>
      <c r="F7" s="30"/>
      <c r="G7" s="146">
        <v>100</v>
      </c>
      <c r="H7" s="37">
        <f t="shared" ref="H7:H32" si="0">B7-F7-G7</f>
        <v>0</v>
      </c>
      <c r="I7" s="12">
        <v>1</v>
      </c>
      <c r="J7" s="13">
        <v>6510</v>
      </c>
      <c r="K7" s="32">
        <f>+H7</f>
        <v>0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/>
      <c r="C8" s="27"/>
      <c r="F8" s="127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/>
      <c r="C9" s="27"/>
      <c r="D9" s="4">
        <v>6500</v>
      </c>
      <c r="F9" s="127"/>
      <c r="G9" s="36"/>
      <c r="H9" s="37">
        <f t="shared" si="0"/>
        <v>0</v>
      </c>
      <c r="I9" s="12">
        <v>1</v>
      </c>
      <c r="J9" s="13">
        <v>6500</v>
      </c>
      <c r="K9" s="32">
        <f>+H9</f>
        <v>0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27"/>
      <c r="F10" s="148"/>
      <c r="G10" s="148"/>
      <c r="H10" s="37">
        <f t="shared" si="0"/>
        <v>0</v>
      </c>
      <c r="I10" s="12">
        <v>1</v>
      </c>
      <c r="J10" s="13">
        <v>6580</v>
      </c>
      <c r="K10" s="32">
        <f>ROUND(H43+H44+H45+H46-H16+H47,2)</f>
        <v>0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27"/>
      <c r="F11" s="150"/>
      <c r="G11" s="150"/>
      <c r="H11" s="37">
        <f t="shared" si="0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6.2</v>
      </c>
      <c r="C12" s="27"/>
      <c r="F12" s="41"/>
      <c r="G12" s="41">
        <v>6.2</v>
      </c>
      <c r="H12" s="37">
        <f>B12-F12-G12</f>
        <v>0</v>
      </c>
      <c r="I12" s="12">
        <v>1</v>
      </c>
      <c r="J12" s="13">
        <v>6570</v>
      </c>
      <c r="K12" s="32">
        <f>-H24+H52+H59</f>
        <v>0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1.45</v>
      </c>
      <c r="C13" s="27"/>
      <c r="F13" s="41"/>
      <c r="G13" s="41">
        <v>1.45</v>
      </c>
      <c r="H13" s="37">
        <f t="shared" si="0"/>
        <v>0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/>
      <c r="C14" s="27"/>
      <c r="F14" s="41"/>
      <c r="G14" s="41"/>
      <c r="H14" s="37">
        <f t="shared" si="0"/>
        <v>0</v>
      </c>
      <c r="I14" s="12">
        <v>1</v>
      </c>
      <c r="J14" s="13">
        <v>6571</v>
      </c>
      <c r="K14" s="32">
        <f>+H56</f>
        <v>0</v>
      </c>
      <c r="L14" s="145"/>
      <c r="M14" s="5" t="s">
        <v>61</v>
      </c>
      <c r="P14" s="1"/>
    </row>
    <row r="15" spans="1:24" x14ac:dyDescent="0.25">
      <c r="A15" s="34" t="s">
        <v>28</v>
      </c>
      <c r="B15" s="151"/>
      <c r="C15" s="27"/>
      <c r="F15" s="41"/>
      <c r="G15" s="41"/>
      <c r="H15" s="37">
        <f t="shared" si="0"/>
        <v>0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>
        <v>0.5</v>
      </c>
      <c r="C16" s="27"/>
      <c r="F16" s="152"/>
      <c r="G16" s="44">
        <v>0.5</v>
      </c>
      <c r="H16" s="37">
        <f t="shared" si="0"/>
        <v>0</v>
      </c>
      <c r="I16" s="52">
        <v>1</v>
      </c>
      <c r="J16" s="10">
        <v>2120</v>
      </c>
      <c r="K16" s="21">
        <f>-H17</f>
        <v>0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1">SUM(R7:R15)</f>
        <v>779.02</v>
      </c>
      <c r="S16" s="154">
        <f t="shared" si="1"/>
        <v>944.95</v>
      </c>
      <c r="T16" s="154">
        <f t="shared" si="1"/>
        <v>348.52</v>
      </c>
      <c r="U16" s="154">
        <f t="shared" si="1"/>
        <v>1512.56</v>
      </c>
      <c r="V16" s="154">
        <f t="shared" si="1"/>
        <v>670.31999999999994</v>
      </c>
      <c r="W16" s="154">
        <f t="shared" si="1"/>
        <v>4475.92</v>
      </c>
      <c r="X16" s="154">
        <f t="shared" si="1"/>
        <v>1797.86</v>
      </c>
    </row>
    <row r="17" spans="1:25" ht="19.5" thickTop="1" thickBot="1" x14ac:dyDescent="0.3">
      <c r="A17" s="34" t="s">
        <v>33</v>
      </c>
      <c r="B17" s="151">
        <v>0.15</v>
      </c>
      <c r="C17" s="27"/>
      <c r="F17" s="152"/>
      <c r="G17" s="44">
        <v>0.15</v>
      </c>
      <c r="H17" s="37">
        <f t="shared" si="0"/>
        <v>0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27"/>
      <c r="D18" s="54"/>
      <c r="E18" s="5"/>
      <c r="F18" s="41"/>
      <c r="G18" s="55"/>
      <c r="H18" s="37">
        <f t="shared" si="0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27"/>
      <c r="D19" s="54"/>
      <c r="E19" s="5"/>
      <c r="F19" s="41"/>
      <c r="G19" s="44"/>
      <c r="H19" s="37">
        <f t="shared" si="0"/>
        <v>0</v>
      </c>
      <c r="I19" s="12">
        <v>1</v>
      </c>
      <c r="J19" s="13">
        <v>6300</v>
      </c>
      <c r="K19" s="82">
        <f>ROUND(H72,2)</f>
        <v>0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27"/>
      <c r="D20" s="4"/>
      <c r="E20" s="5"/>
      <c r="F20" s="41"/>
      <c r="G20" s="55"/>
      <c r="H20" s="37">
        <f t="shared" si="0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27"/>
      <c r="D21" s="4"/>
      <c r="E21" s="5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27"/>
      <c r="D22" s="54"/>
      <c r="E22" s="5"/>
      <c r="F22" s="41"/>
      <c r="G22" s="44"/>
      <c r="H22" s="37">
        <f t="shared" si="0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27"/>
      <c r="D23" s="4"/>
      <c r="E23" s="5"/>
      <c r="F23" s="41"/>
      <c r="G23" s="55"/>
      <c r="H23" s="37">
        <f t="shared" si="0"/>
        <v>0</v>
      </c>
      <c r="I23" s="12"/>
      <c r="J23" s="13"/>
      <c r="K23" s="59">
        <f>SUM(K7:K22)</f>
        <v>0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>
        <v>8</v>
      </c>
      <c r="C24" s="27"/>
      <c r="D24" s="4"/>
      <c r="E24" s="5"/>
      <c r="F24" s="44"/>
      <c r="G24" s="44">
        <v>8</v>
      </c>
      <c r="H24" s="37">
        <f t="shared" si="0"/>
        <v>0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27"/>
      <c r="D25" s="4"/>
      <c r="E25" s="5"/>
      <c r="F25" s="41"/>
      <c r="G25" s="44"/>
      <c r="H25" s="37">
        <f t="shared" si="0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27"/>
      <c r="D26" s="4"/>
      <c r="E26" s="5"/>
      <c r="F26" s="44"/>
      <c r="G26" s="44"/>
      <c r="H26" s="37">
        <f t="shared" si="0"/>
        <v>0</v>
      </c>
      <c r="I26" s="12">
        <v>2</v>
      </c>
      <c r="J26" s="13">
        <v>6510</v>
      </c>
      <c r="K26" s="32">
        <f>+G7</f>
        <v>100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27"/>
      <c r="D27" s="54"/>
      <c r="E27" s="5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63"/>
      <c r="D28" s="4"/>
      <c r="E28" s="5"/>
      <c r="F28" s="41"/>
      <c r="G28" s="55"/>
      <c r="H28" s="37">
        <f t="shared" si="0"/>
        <v>0</v>
      </c>
      <c r="I28" s="12">
        <v>2</v>
      </c>
      <c r="J28" s="13">
        <v>6500</v>
      </c>
      <c r="K28" s="32">
        <f>+G9</f>
        <v>0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27"/>
      <c r="D29" s="54"/>
      <c r="E29" s="5"/>
      <c r="F29" s="41"/>
      <c r="G29" s="44"/>
      <c r="H29" s="37">
        <f t="shared" si="0"/>
        <v>0</v>
      </c>
      <c r="I29" s="12">
        <v>2</v>
      </c>
      <c r="J29" s="13">
        <v>6580</v>
      </c>
      <c r="K29" s="32">
        <f>-G16+G43+G44+G45+G46+G47</f>
        <v>7.15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65"/>
      <c r="D30" s="54"/>
      <c r="E30" s="5"/>
      <c r="F30" s="66"/>
      <c r="G30" s="67"/>
      <c r="H30" s="37">
        <f t="shared" si="0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27"/>
      <c r="D31" s="4"/>
      <c r="E31" s="5"/>
      <c r="F31" s="68"/>
      <c r="G31" s="67"/>
      <c r="H31" s="37">
        <f t="shared" si="0"/>
        <v>0</v>
      </c>
      <c r="I31" s="12">
        <v>2</v>
      </c>
      <c r="J31" s="13">
        <v>6570</v>
      </c>
      <c r="K31" s="32">
        <f>-G24+G52+G59</f>
        <v>4.51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27">
        <f t="shared" ref="C32" si="2">B32-F32-G32-H32</f>
        <v>0</v>
      </c>
      <c r="D32" s="4">
        <v>6500</v>
      </c>
      <c r="E32" s="5"/>
      <c r="F32" s="69"/>
      <c r="G32" s="70"/>
      <c r="H32" s="37">
        <f t="shared" si="0"/>
        <v>0</v>
      </c>
      <c r="I32" s="12">
        <v>2</v>
      </c>
      <c r="J32" s="13">
        <v>6571</v>
      </c>
      <c r="K32" s="32">
        <f>G56</f>
        <v>4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83.699999999999989</v>
      </c>
      <c r="C33" s="72">
        <f>B33-F33-G33-H33</f>
        <v>-0.15000000000000568</v>
      </c>
      <c r="D33" s="71"/>
      <c r="E33" s="71"/>
      <c r="F33" s="71">
        <f>F7+F8+F10+F11-F12-F13-F14-F15-F16-F30-F21-F27-F26-F29-F18-F22-F19-F24-F23-F25+F31+F32</f>
        <v>0</v>
      </c>
      <c r="G33" s="71">
        <f>G7+G8+G10+G11-G12-G13-G14-G15-G16-G30-G21-G27-G26-G29-G18-G22-G19-G24-G23-G25+G31+G32</f>
        <v>83.85</v>
      </c>
      <c r="H33" s="71">
        <f>H7+H8+H10+H11-H12-H13-H14-H15-H16-H30-H21-H27-H26-H29-H18-H22-H19-H24-H23-H25+H31+H32-H20-H28</f>
        <v>0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-0.15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6.2</v>
      </c>
      <c r="C38" s="27">
        <f>B38-F38-G38-H38</f>
        <v>0</v>
      </c>
      <c r="D38" s="28">
        <v>2100</v>
      </c>
      <c r="E38" s="29"/>
      <c r="F38" s="81">
        <v>0</v>
      </c>
      <c r="G38" s="80">
        <v>6.2</v>
      </c>
      <c r="H38" s="31">
        <f>B38-G38-F38</f>
        <v>0</v>
      </c>
      <c r="I38" s="12">
        <v>2</v>
      </c>
      <c r="J38" s="13">
        <v>6300</v>
      </c>
      <c r="K38" s="84">
        <f>ROUND(G72,2)</f>
        <v>0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1.45</v>
      </c>
      <c r="C39" s="27">
        <f>B39-F39-G39-H39</f>
        <v>0</v>
      </c>
      <c r="D39" s="4">
        <v>2100</v>
      </c>
      <c r="E39" s="5"/>
      <c r="F39" s="6">
        <v>0</v>
      </c>
      <c r="G39" s="83">
        <v>1.45</v>
      </c>
      <c r="H39" s="37">
        <f>B39-G39-F39</f>
        <v>0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0</v>
      </c>
      <c r="C40" s="27">
        <f>B40-F40-G40-H40</f>
        <v>0</v>
      </c>
      <c r="D40" s="4">
        <v>2110</v>
      </c>
      <c r="E40" s="5"/>
      <c r="F40" s="6">
        <v>0</v>
      </c>
      <c r="G40" s="83">
        <v>0</v>
      </c>
      <c r="H40" s="37">
        <f>B40-G40-F40</f>
        <v>0</v>
      </c>
      <c r="I40" s="85"/>
      <c r="J40" s="5"/>
      <c r="K40" s="86">
        <f>SUM(K26:K39)</f>
        <v>115.51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0</v>
      </c>
      <c r="C41" s="27">
        <f>B41-F41-G41-H41</f>
        <v>0</v>
      </c>
      <c r="D41" s="4">
        <v>2120</v>
      </c>
      <c r="E41" s="5"/>
      <c r="F41" s="6">
        <v>0</v>
      </c>
      <c r="G41" s="83">
        <v>0</v>
      </c>
      <c r="H41" s="37">
        <f>B41-G41-F41</f>
        <v>0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6.2</v>
      </c>
      <c r="C43" s="27">
        <f>B43-F43-G43-H43</f>
        <v>0</v>
      </c>
      <c r="D43" s="4">
        <v>6580</v>
      </c>
      <c r="E43" s="5"/>
      <c r="F43" s="90"/>
      <c r="G43" s="90">
        <v>6.2</v>
      </c>
      <c r="H43" s="37">
        <f>B43-F43-G43</f>
        <v>0</v>
      </c>
      <c r="I43" s="12">
        <v>3</v>
      </c>
      <c r="J43" s="13">
        <v>6510</v>
      </c>
      <c r="K43" s="92">
        <f>+F7</f>
        <v>0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1.45</v>
      </c>
      <c r="C44" s="27">
        <f>B44-F44-G44-H44</f>
        <v>0</v>
      </c>
      <c r="D44" s="4">
        <v>6580</v>
      </c>
      <c r="E44" s="5"/>
      <c r="F44" s="90"/>
      <c r="G44" s="90">
        <v>1.45</v>
      </c>
      <c r="H44" s="37">
        <f>B44-F44-G44</f>
        <v>0</v>
      </c>
      <c r="I44" s="12">
        <v>3</v>
      </c>
      <c r="J44" s="13">
        <v>6505</v>
      </c>
      <c r="K44" s="92">
        <f>+F8</f>
        <v>0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/>
      <c r="C45" s="27">
        <f>B45-F45-G45-H45</f>
        <v>0</v>
      </c>
      <c r="D45" s="4">
        <v>6580</v>
      </c>
      <c r="E45" s="5"/>
      <c r="F45" s="90"/>
      <c r="G45" s="91"/>
      <c r="H45" s="37">
        <f>B45-G45-F45</f>
        <v>0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/>
      <c r="C46" s="27">
        <f>B46-F46-G46-H46</f>
        <v>0</v>
      </c>
      <c r="D46" s="4">
        <v>6580</v>
      </c>
      <c r="E46" s="5"/>
      <c r="F46" s="93"/>
      <c r="G46" s="94"/>
      <c r="H46" s="37">
        <f>B46-G46-F46</f>
        <v>0</v>
      </c>
      <c r="I46" s="12">
        <v>3</v>
      </c>
      <c r="J46" s="13">
        <v>6580</v>
      </c>
      <c r="K46" s="92">
        <f>-F16+F43+F44+F45+F46+F47</f>
        <v>0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/>
      <c r="C47" s="27">
        <f>B47-F47-G47-H47</f>
        <v>0</v>
      </c>
      <c r="D47" s="4"/>
      <c r="E47" s="5"/>
      <c r="F47" s="95"/>
      <c r="G47" s="96"/>
      <c r="H47" s="37">
        <f>B47-G47-F47</f>
        <v>0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7.65</v>
      </c>
      <c r="C48" s="27">
        <f>B49-F48-G48-H48</f>
        <v>0</v>
      </c>
      <c r="D48" s="7"/>
      <c r="E48" s="1"/>
      <c r="F48" s="97">
        <f>SUM(F38:F47)</f>
        <v>0</v>
      </c>
      <c r="G48" s="97">
        <f>SUM(G38:G47)</f>
        <v>15.3</v>
      </c>
      <c r="H48" s="71">
        <f>SUM(H38:H47)</f>
        <v>0</v>
      </c>
      <c r="I48" s="12">
        <v>3</v>
      </c>
      <c r="J48" s="13">
        <v>6300</v>
      </c>
      <c r="K48" s="92">
        <f>ROUND(F72,2)</f>
        <v>0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5" s="33" customFormat="1" ht="19.5" thickTop="1" thickBot="1" x14ac:dyDescent="0.3">
      <c r="A49" s="34" t="s">
        <v>60</v>
      </c>
      <c r="B49" s="98">
        <f>SUM(B38:B47)</f>
        <v>15.3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5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0</v>
      </c>
      <c r="L50" s="1"/>
      <c r="M50" s="1" t="s">
        <v>34</v>
      </c>
      <c r="N50" s="1"/>
      <c r="O50" s="1"/>
      <c r="P50" s="1"/>
    </row>
    <row r="51" spans="1:25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5" x14ac:dyDescent="0.25">
      <c r="A52" s="25" t="s">
        <v>78</v>
      </c>
      <c r="B52" s="80">
        <f>B24</f>
        <v>8</v>
      </c>
      <c r="C52" s="106"/>
      <c r="D52" s="28">
        <v>6570</v>
      </c>
      <c r="E52" s="29"/>
      <c r="F52" s="81">
        <f>F24</f>
        <v>0</v>
      </c>
      <c r="G52" s="107">
        <f>G24</f>
        <v>8</v>
      </c>
      <c r="H52" s="31">
        <f>B52-G52-F52</f>
        <v>0</v>
      </c>
      <c r="I52" s="12">
        <v>3</v>
      </c>
      <c r="J52" s="13">
        <v>6570</v>
      </c>
      <c r="K52" s="92">
        <f>F59</f>
        <v>0</v>
      </c>
      <c r="M52" s="5" t="s">
        <v>25</v>
      </c>
      <c r="O52" s="1"/>
      <c r="P52" s="1"/>
    </row>
    <row r="53" spans="1:25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0</v>
      </c>
      <c r="M53" s="5" t="s">
        <v>27</v>
      </c>
      <c r="O53" s="1"/>
      <c r="P53" s="1"/>
    </row>
    <row r="54" spans="1:25" x14ac:dyDescent="0.25">
      <c r="A54" s="34" t="s">
        <v>60</v>
      </c>
      <c r="B54" s="108">
        <f>SUM(B52:B53)</f>
        <v>8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5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5" ht="18.75" thickBot="1" x14ac:dyDescent="0.3">
      <c r="A56" s="34" t="s">
        <v>80</v>
      </c>
      <c r="B56" s="110">
        <v>4</v>
      </c>
      <c r="C56" s="111"/>
      <c r="D56" s="4">
        <v>6571</v>
      </c>
      <c r="F56" s="90"/>
      <c r="G56" s="91">
        <v>4</v>
      </c>
      <c r="H56" s="37">
        <f>B56-F56-G56</f>
        <v>0</v>
      </c>
      <c r="I56" s="12"/>
      <c r="J56" s="13"/>
      <c r="K56" s="86">
        <f>SUM(K43:K55)</f>
        <v>0</v>
      </c>
      <c r="L56" s="1"/>
      <c r="N56" s="1">
        <v>2040</v>
      </c>
      <c r="O56" s="1"/>
      <c r="P56" s="1"/>
      <c r="Q56" s="33">
        <f>+O58+K58</f>
        <v>0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5" ht="18.75" thickTop="1" x14ac:dyDescent="0.25">
      <c r="A57" s="34" t="s">
        <v>61</v>
      </c>
      <c r="B57" s="112"/>
      <c r="C57" s="111"/>
      <c r="D57" s="4">
        <v>6571</v>
      </c>
      <c r="F57" s="93"/>
      <c r="G57" s="157"/>
      <c r="H57" s="37">
        <f>B57-F57-G57</f>
        <v>0</v>
      </c>
      <c r="I57" s="12"/>
      <c r="J57" s="13"/>
      <c r="K57" s="32"/>
      <c r="M57" s="1" t="s">
        <v>83</v>
      </c>
      <c r="O57" s="1"/>
      <c r="P57" s="1"/>
    </row>
    <row r="58" spans="1:25" ht="18.75" thickBot="1" x14ac:dyDescent="0.3">
      <c r="A58" s="34" t="s">
        <v>82</v>
      </c>
      <c r="B58" s="83">
        <f>+B20</f>
        <v>0</v>
      </c>
      <c r="C58" s="111"/>
      <c r="F58" s="6"/>
      <c r="G58" s="88"/>
      <c r="H58" s="37">
        <f>B58-F58-G58</f>
        <v>0</v>
      </c>
      <c r="I58" s="52">
        <v>1</v>
      </c>
      <c r="J58" s="10">
        <v>1012</v>
      </c>
      <c r="K58" s="113">
        <f>-(K23+K40+K56+K76+K83+K88)-K59-K60</f>
        <v>-115.51</v>
      </c>
      <c r="M58" s="1"/>
      <c r="O58" s="114">
        <f>+'[5]1012-CNB Checking'!$F$109</f>
        <v>115.51</v>
      </c>
      <c r="P58" s="114"/>
      <c r="Y58" s="32">
        <f>+K58+O58</f>
        <v>0</v>
      </c>
    </row>
    <row r="59" spans="1:25" ht="18.75" thickTop="1" x14ac:dyDescent="0.25">
      <c r="A59" s="34" t="s">
        <v>25</v>
      </c>
      <c r="B59" s="110">
        <v>4.51</v>
      </c>
      <c r="C59" s="111"/>
      <c r="D59" s="4">
        <v>6570</v>
      </c>
      <c r="F59" s="160">
        <f>+((F7+F8)/(B8+B7))*B59</f>
        <v>0</v>
      </c>
      <c r="G59" s="88">
        <f>+((G7+G8)/(B7+B8))*B59</f>
        <v>4.51</v>
      </c>
      <c r="H59" s="37">
        <f>+B59-F59-G59</f>
        <v>0</v>
      </c>
      <c r="I59" s="85">
        <v>1</v>
      </c>
      <c r="K59" s="21"/>
      <c r="O59" s="21"/>
      <c r="P59" s="1"/>
    </row>
    <row r="60" spans="1:25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85">
        <v>1</v>
      </c>
      <c r="K60" s="21"/>
      <c r="O60" s="21"/>
      <c r="P60" s="1"/>
    </row>
    <row r="61" spans="1:25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>B61-F61-G61</f>
        <v>0</v>
      </c>
      <c r="I61" s="85"/>
      <c r="K61" s="21"/>
      <c r="O61" s="21"/>
      <c r="P61" s="1"/>
    </row>
    <row r="62" spans="1:25" ht="18.75" thickBot="1" x14ac:dyDescent="0.3">
      <c r="A62" s="34" t="s">
        <v>60</v>
      </c>
      <c r="B62" s="116">
        <f>B54+B60+B61+B56+B59+B58</f>
        <v>16.509999999999998</v>
      </c>
      <c r="C62" s="117"/>
      <c r="D62" s="7"/>
      <c r="E62" s="1"/>
      <c r="F62" s="71">
        <f>F52+F56</f>
        <v>0</v>
      </c>
      <c r="G62" s="71">
        <f>G52+G56</f>
        <v>12</v>
      </c>
      <c r="H62" s="118">
        <f>B62-G62</f>
        <v>4.509999999999998</v>
      </c>
      <c r="I62" s="115" t="s">
        <v>85</v>
      </c>
      <c r="K62" s="32"/>
      <c r="O62" s="1"/>
      <c r="P62" s="1"/>
    </row>
    <row r="63" spans="1:25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5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v>0.1</v>
      </c>
      <c r="G65" s="123">
        <v>0.3</v>
      </c>
      <c r="H65" s="123">
        <v>0.6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0.1</v>
      </c>
      <c r="G70" s="123">
        <f>G65</f>
        <v>0.3</v>
      </c>
      <c r="H70" s="123">
        <f>H65</f>
        <v>0.6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/>
      <c r="C71" s="106"/>
      <c r="D71" s="28">
        <v>6300</v>
      </c>
      <c r="E71" s="29"/>
      <c r="F71" s="81">
        <f>B71*F70</f>
        <v>0</v>
      </c>
      <c r="G71" s="107">
        <f>B71*G70</f>
        <v>0</v>
      </c>
      <c r="H71" s="31">
        <f>B71*H70-0</f>
        <v>0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0</v>
      </c>
      <c r="C72" s="117"/>
      <c r="D72" s="7"/>
      <c r="E72" s="1"/>
      <c r="F72" s="71">
        <f>F71</f>
        <v>0</v>
      </c>
      <c r="G72" s="71">
        <f>G71</f>
        <v>0</v>
      </c>
      <c r="H72" s="118">
        <f>H71</f>
        <v>0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115.51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83.7</v>
      </c>
      <c r="C77" s="130"/>
      <c r="D77" s="131" t="s">
        <v>100</v>
      </c>
      <c r="E77" s="6"/>
      <c r="F77" s="6"/>
      <c r="G77" s="132"/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83.7</v>
      </c>
      <c r="C80" s="130"/>
      <c r="D80" s="131"/>
      <c r="E80" s="6"/>
      <c r="F80" s="6"/>
      <c r="G80" s="129">
        <f>SUM(G77:G79)</f>
        <v>0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115.51</v>
      </c>
      <c r="C81" s="3"/>
      <c r="D81" s="4"/>
      <c r="E81" s="5"/>
      <c r="F81" s="5"/>
      <c r="G81" s="5"/>
      <c r="H81" s="128" t="str">
        <f>IF(B80-G80=0,"ok","NO")</f>
        <v>NO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0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115.51</v>
      </c>
      <c r="C83" s="128" t="str">
        <f>IF(B75=B83,"ok","NO")</f>
        <v>ok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0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E130-204E-4630-8088-EBD97F9BFF4E}">
  <sheetPr>
    <tabColor rgb="FF00B050"/>
    <pageSetUpPr fitToPage="1"/>
  </sheetPr>
  <dimension ref="A2:Z99"/>
  <sheetViews>
    <sheetView zoomScale="70" zoomScaleNormal="70" zoomScalePageLayoutView="70" workbookViewId="0">
      <selection activeCell="K77" sqref="K77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4.2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customWidth="1"/>
    <col min="17" max="17" width="15.25" style="5" customWidth="1"/>
    <col min="18" max="18" width="18.125" style="5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43587</v>
      </c>
      <c r="K2" s="9"/>
      <c r="M2" s="5" t="s">
        <v>1</v>
      </c>
    </row>
    <row r="3" spans="1:19" x14ac:dyDescent="0.25">
      <c r="A3" s="10" t="s">
        <v>2</v>
      </c>
      <c r="B3" s="8">
        <v>43581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f>1+(0.2)</f>
        <v>1.2</v>
      </c>
    </row>
    <row r="7" spans="1:19" x14ac:dyDescent="0.25">
      <c r="A7" s="25" t="s">
        <v>14</v>
      </c>
      <c r="B7" s="26">
        <v>45029.88</v>
      </c>
      <c r="C7" s="27">
        <f>B7-F7-G7-H7</f>
        <v>0</v>
      </c>
      <c r="D7" s="28">
        <v>6500</v>
      </c>
      <c r="E7" s="29"/>
      <c r="F7" s="30">
        <v>3961.15</v>
      </c>
      <c r="G7" s="30">
        <v>17629.169999999998</v>
      </c>
      <c r="H7" s="31">
        <f t="shared" ref="H7:H31" si="0">B7-F7-G7</f>
        <v>23439.559999999998</v>
      </c>
      <c r="I7" s="12">
        <v>1</v>
      </c>
      <c r="J7" s="13">
        <v>6500</v>
      </c>
      <c r="K7" s="32">
        <f>H7</f>
        <v>23439.559999999998</v>
      </c>
      <c r="M7" s="5" t="s">
        <v>15</v>
      </c>
      <c r="P7" s="5">
        <v>1</v>
      </c>
      <c r="Q7" s="13">
        <v>6500</v>
      </c>
      <c r="R7" s="33">
        <f>+K7*$R$6</f>
        <v>28127.471999999998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3015</v>
      </c>
      <c r="C10" s="27">
        <f t="shared" ref="C10:C30" si="1">B10-F10-G10-H10</f>
        <v>0</v>
      </c>
      <c r="D10" s="4">
        <v>6040</v>
      </c>
      <c r="F10" s="35"/>
      <c r="G10" s="36">
        <v>1792.7</v>
      </c>
      <c r="H10" s="37">
        <f t="shared" si="0"/>
        <v>1222.3</v>
      </c>
      <c r="I10" s="12">
        <v>1</v>
      </c>
      <c r="J10" s="13">
        <v>6580</v>
      </c>
      <c r="K10" s="32">
        <f>ROUND($H$42+$H$43+$H$44+$H$45-$H$15+$H$46,2)</f>
        <v>2251.73</v>
      </c>
      <c r="M10" s="39" t="s">
        <v>21</v>
      </c>
      <c r="P10" s="5">
        <v>1</v>
      </c>
      <c r="Q10" s="13">
        <v>6580</v>
      </c>
      <c r="R10" s="33">
        <f>+K10*$R$6</f>
        <v>2702.076</v>
      </c>
      <c r="S10" s="32"/>
    </row>
    <row r="11" spans="1:19" x14ac:dyDescent="0.25">
      <c r="A11" s="34" t="s">
        <v>22</v>
      </c>
      <c r="B11" s="40">
        <v>2671.3</v>
      </c>
      <c r="C11" s="27">
        <f t="shared" si="1"/>
        <v>0</v>
      </c>
      <c r="D11" s="4">
        <v>2100</v>
      </c>
      <c r="F11" s="41"/>
      <c r="G11" s="41"/>
      <c r="H11" s="37">
        <f t="shared" si="0"/>
        <v>2671.3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624.78</v>
      </c>
      <c r="C12" s="27">
        <f t="shared" si="1"/>
        <v>0</v>
      </c>
      <c r="D12" s="4">
        <v>2100</v>
      </c>
      <c r="F12" s="41"/>
      <c r="G12" s="41"/>
      <c r="H12" s="37">
        <f t="shared" si="0"/>
        <v>624.78</v>
      </c>
      <c r="I12" s="12">
        <v>1</v>
      </c>
      <c r="J12" s="13">
        <v>6570</v>
      </c>
      <c r="K12" s="32">
        <f>-H23+H51+H58</f>
        <v>387.13</v>
      </c>
      <c r="M12" s="5" t="s">
        <v>25</v>
      </c>
      <c r="P12" s="5">
        <v>1</v>
      </c>
      <c r="Q12" s="13">
        <v>6570</v>
      </c>
      <c r="R12" s="33">
        <f>+K12*R6</f>
        <v>464.55599999999998</v>
      </c>
      <c r="S12" s="32"/>
    </row>
    <row r="13" spans="1:19" x14ac:dyDescent="0.25">
      <c r="A13" s="34" t="s">
        <v>26</v>
      </c>
      <c r="B13" s="42">
        <v>3252.02</v>
      </c>
      <c r="C13" s="27">
        <f t="shared" si="1"/>
        <v>0</v>
      </c>
      <c r="D13" s="4">
        <v>2110</v>
      </c>
      <c r="F13" s="41"/>
      <c r="G13" s="41"/>
      <c r="H13" s="37">
        <f t="shared" si="0"/>
        <v>3252.02</v>
      </c>
      <c r="I13" s="12">
        <v>1</v>
      </c>
      <c r="J13" s="13">
        <v>6571</v>
      </c>
      <c r="K13" s="32">
        <f>ROUND(H55,2)</f>
        <v>954.46</v>
      </c>
      <c r="M13" s="43" t="s">
        <v>27</v>
      </c>
      <c r="P13" s="5">
        <v>1</v>
      </c>
      <c r="Q13" s="13">
        <v>6571</v>
      </c>
      <c r="R13" s="33">
        <f>+K13*$R$6</f>
        <v>1145.3520000000001</v>
      </c>
      <c r="S13" s="32"/>
    </row>
    <row r="14" spans="1:19" x14ac:dyDescent="0.25">
      <c r="A14" s="34" t="s">
        <v>28</v>
      </c>
      <c r="B14" s="42">
        <v>1773.97</v>
      </c>
      <c r="C14" s="27">
        <f t="shared" si="1"/>
        <v>0</v>
      </c>
      <c r="D14" s="4">
        <v>2120</v>
      </c>
      <c r="F14" s="41"/>
      <c r="G14" s="41"/>
      <c r="H14" s="37">
        <f t="shared" si="0"/>
        <v>1773.97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26.4</v>
      </c>
      <c r="C15" s="27">
        <f t="shared" si="1"/>
        <v>0</v>
      </c>
      <c r="D15" s="4">
        <v>6580</v>
      </c>
      <c r="F15" s="44">
        <v>1.2</v>
      </c>
      <c r="G15" s="44">
        <v>7.2</v>
      </c>
      <c r="H15" s="37">
        <f t="shared" si="0"/>
        <v>18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>
        <f>SUM(R61:R66)</f>
        <v>1222.3</v>
      </c>
    </row>
    <row r="16" spans="1:19" ht="18.75" thickBot="1" x14ac:dyDescent="0.3">
      <c r="A16" s="34" t="s">
        <v>33</v>
      </c>
      <c r="B16" s="51">
        <v>68.89</v>
      </c>
      <c r="C16" s="27">
        <f t="shared" si="1"/>
        <v>0</v>
      </c>
      <c r="D16" s="7">
        <v>2120</v>
      </c>
      <c r="F16" s="44">
        <v>3.77</v>
      </c>
      <c r="G16" s="44">
        <v>20.14</v>
      </c>
      <c r="H16" s="37">
        <f t="shared" si="0"/>
        <v>44.980000000000004</v>
      </c>
      <c r="I16" s="52">
        <v>1</v>
      </c>
      <c r="J16" s="10">
        <v>2120</v>
      </c>
      <c r="K16" s="21">
        <f>-H16</f>
        <v>-44.980000000000004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-53.976000000000006</v>
      </c>
      <c r="S16" s="32"/>
    </row>
    <row r="17" spans="1:26" x14ac:dyDescent="0.25">
      <c r="A17" s="34" t="s">
        <v>35</v>
      </c>
      <c r="B17" s="53">
        <v>24</v>
      </c>
      <c r="C17" s="27">
        <f t="shared" si="1"/>
        <v>0</v>
      </c>
      <c r="D17" s="54">
        <v>1830</v>
      </c>
      <c r="F17" s="41"/>
      <c r="G17" s="55"/>
      <c r="H17" s="37">
        <f t="shared" si="0"/>
        <v>24</v>
      </c>
      <c r="I17" s="12">
        <v>1</v>
      </c>
      <c r="J17" s="13">
        <v>1830</v>
      </c>
      <c r="K17" s="56">
        <f>ROUND(-H20-H27-H17-H18-H21-H26-H28,2)</f>
        <v>-923.93</v>
      </c>
      <c r="M17" s="5" t="s">
        <v>36</v>
      </c>
      <c r="P17" s="5">
        <v>1</v>
      </c>
      <c r="Q17" s="13">
        <v>1830</v>
      </c>
      <c r="R17" s="33">
        <f>+K17*$R$6</f>
        <v>-1108.7159999999999</v>
      </c>
      <c r="S17" s="32"/>
    </row>
    <row r="18" spans="1:26" x14ac:dyDescent="0.25">
      <c r="A18" s="34" t="s">
        <v>37</v>
      </c>
      <c r="B18" s="57">
        <v>87.96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28.079999999999991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57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293.60000000000002</v>
      </c>
      <c r="M19" s="5" t="s">
        <v>40</v>
      </c>
      <c r="P19" s="5">
        <v>1</v>
      </c>
      <c r="Q19" s="13">
        <v>6300</v>
      </c>
      <c r="R19" s="33">
        <f>+K19*$R$6</f>
        <v>352.32</v>
      </c>
      <c r="S19" s="32"/>
    </row>
    <row r="20" spans="1:26" x14ac:dyDescent="0.25">
      <c r="A20" s="34" t="s">
        <v>41</v>
      </c>
      <c r="B20" s="57">
        <v>1511.76</v>
      </c>
      <c r="C20" s="27">
        <f t="shared" si="1"/>
        <v>0</v>
      </c>
      <c r="D20" s="4">
        <v>1830</v>
      </c>
      <c r="F20" s="41"/>
      <c r="G20" s="44">
        <v>809.87</v>
      </c>
      <c r="H20" s="37">
        <f t="shared" si="0"/>
        <v>701.89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57">
        <v>174.96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48.960000000000008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57">
        <v>461.52</v>
      </c>
      <c r="C22" s="27">
        <f t="shared" si="1"/>
        <v>0</v>
      </c>
      <c r="F22" s="41"/>
      <c r="G22" s="55"/>
      <c r="H22" s="37">
        <f t="shared" si="0"/>
        <v>461.52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57">
        <v>2054.9</v>
      </c>
      <c r="C23" s="27">
        <f t="shared" si="1"/>
        <v>0</v>
      </c>
      <c r="D23" s="4">
        <v>6570</v>
      </c>
      <c r="F23" s="44">
        <v>172.48</v>
      </c>
      <c r="G23" s="44">
        <v>622.4</v>
      </c>
      <c r="H23" s="37">
        <f t="shared" si="0"/>
        <v>1260.02</v>
      </c>
      <c r="I23" s="12"/>
      <c r="J23" s="13"/>
      <c r="K23" s="59">
        <f>SUM(K7:K22)</f>
        <v>26357.569999999996</v>
      </c>
      <c r="N23" s="1">
        <v>2040</v>
      </c>
      <c r="P23" s="5">
        <v>1</v>
      </c>
      <c r="Q23" s="13">
        <v>2040</v>
      </c>
      <c r="R23" s="60">
        <f>SUM(R7:R22)</f>
        <v>32851.383999999998</v>
      </c>
      <c r="S23" s="6"/>
    </row>
    <row r="24" spans="1:26" ht="18.75" thickTop="1" x14ac:dyDescent="0.25">
      <c r="A24" s="34" t="s">
        <v>48</v>
      </c>
      <c r="B24" s="57">
        <v>451.11</v>
      </c>
      <c r="C24" s="27">
        <f t="shared" si="1"/>
        <v>0</v>
      </c>
      <c r="F24" s="41"/>
      <c r="G24" s="44">
        <v>123.58</v>
      </c>
      <c r="H24" s="37">
        <f t="shared" si="0"/>
        <v>327.53000000000003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57">
        <v>345</v>
      </c>
      <c r="C25" s="27">
        <f t="shared" si="1"/>
        <v>0</v>
      </c>
      <c r="F25" s="44">
        <v>101.95</v>
      </c>
      <c r="G25" s="44"/>
      <c r="H25" s="37">
        <f t="shared" si="0"/>
        <v>243.05</v>
      </c>
      <c r="I25" s="61">
        <v>2</v>
      </c>
      <c r="J25" s="62"/>
      <c r="K25" s="32"/>
      <c r="Q25" s="62"/>
      <c r="R25" s="33"/>
    </row>
    <row r="26" spans="1:26" x14ac:dyDescent="0.25">
      <c r="A26" s="34" t="s">
        <v>50</v>
      </c>
      <c r="B26" s="57">
        <v>63.17</v>
      </c>
      <c r="C26" s="27">
        <f t="shared" si="1"/>
        <v>0</v>
      </c>
      <c r="D26" s="54">
        <v>1830</v>
      </c>
      <c r="F26" s="41"/>
      <c r="G26" s="55"/>
      <c r="H26" s="37">
        <f t="shared" si="0"/>
        <v>63.17</v>
      </c>
      <c r="I26" s="12">
        <v>2</v>
      </c>
      <c r="J26" s="13">
        <v>6500</v>
      </c>
      <c r="K26" s="32">
        <f>G7</f>
        <v>17629.169999999998</v>
      </c>
      <c r="M26" s="5" t="s">
        <v>51</v>
      </c>
      <c r="O26" s="32"/>
      <c r="P26" s="5">
        <v>2</v>
      </c>
      <c r="Q26" s="13">
        <v>6500</v>
      </c>
      <c r="R26" s="33">
        <f>+K26*R6</f>
        <v>21155.003999999997</v>
      </c>
      <c r="S26" s="32"/>
      <c r="X26" s="32"/>
    </row>
    <row r="27" spans="1:26" x14ac:dyDescent="0.25">
      <c r="A27" s="34" t="s">
        <v>52</v>
      </c>
      <c r="B27" s="57"/>
      <c r="C27" s="63">
        <f t="shared" si="1"/>
        <v>0</v>
      </c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64">
        <v>86.95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57.83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57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952.05</v>
      </c>
      <c r="M29" s="39" t="s">
        <v>21</v>
      </c>
      <c r="P29" s="5">
        <v>2</v>
      </c>
      <c r="Q29" s="13">
        <v>6580</v>
      </c>
      <c r="R29" s="33">
        <f>+K29*R6</f>
        <v>1142.4599999999998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193.56</v>
      </c>
      <c r="M31" s="5" t="s">
        <v>25</v>
      </c>
      <c r="P31" s="5">
        <v>2</v>
      </c>
      <c r="Q31" s="13">
        <v>6570</v>
      </c>
      <c r="R31" s="33">
        <f>+K31*$R$6</f>
        <v>232.27199999999999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</f>
        <v>34366.19</v>
      </c>
      <c r="C32" s="72">
        <f>B32-F32-G32-H32</f>
        <v>0</v>
      </c>
      <c r="D32" s="71"/>
      <c r="E32" s="71"/>
      <c r="F32" s="71">
        <f t="shared" ref="F32:H32" si="2">F7+F8+F10-F11-F12-F13-F14-F15-F16-F19-F29-F20-F26-F25-F28-F17-F21-F18-F23-F22-F24+F30+F31</f>
        <v>3671.0000000000005</v>
      </c>
      <c r="G32" s="71">
        <f t="shared" si="2"/>
        <v>17634.429999999997</v>
      </c>
      <c r="H32" s="71">
        <f t="shared" si="2"/>
        <v>13060.76</v>
      </c>
      <c r="I32" s="12">
        <v>2</v>
      </c>
      <c r="J32" s="13">
        <v>6571</v>
      </c>
      <c r="K32" s="32">
        <f>G55</f>
        <v>370.58</v>
      </c>
      <c r="M32" s="43" t="s">
        <v>27</v>
      </c>
      <c r="P32" s="5">
        <v>2</v>
      </c>
      <c r="Q32" s="13">
        <v>6571</v>
      </c>
      <c r="R32" s="33">
        <f>+K32*$R$6</f>
        <v>444.69599999999997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>
        <f>SUM(R75:R81)</f>
        <v>1792.7</v>
      </c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-20.14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-24.167999999999999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-1014.12</v>
      </c>
      <c r="M36" s="5" t="s">
        <v>36</v>
      </c>
      <c r="O36" s="1"/>
      <c r="P36" s="5">
        <v>2</v>
      </c>
      <c r="Q36" s="13">
        <v>1830</v>
      </c>
      <c r="R36" s="33">
        <f>+K36*$R$6</f>
        <v>-1216.944</v>
      </c>
      <c r="S36" s="32"/>
    </row>
    <row r="37" spans="1:22" x14ac:dyDescent="0.25">
      <c r="A37" s="25" t="s">
        <v>66</v>
      </c>
      <c r="B37" s="80">
        <f>B11</f>
        <v>2671.3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2671.3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624.78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624.78</v>
      </c>
      <c r="I38" s="12">
        <v>2</v>
      </c>
      <c r="J38" s="13">
        <v>6300</v>
      </c>
      <c r="K38" s="84">
        <f>ROUND(G70,2)</f>
        <v>146.80000000000001</v>
      </c>
      <c r="M38" s="5" t="s">
        <v>40</v>
      </c>
      <c r="O38" s="1"/>
      <c r="P38" s="5">
        <v>2</v>
      </c>
      <c r="Q38" s="13">
        <v>6300</v>
      </c>
      <c r="R38" s="33">
        <f>+K38*$R$6</f>
        <v>176.16</v>
      </c>
      <c r="S38" s="32"/>
    </row>
    <row r="39" spans="1:22" x14ac:dyDescent="0.25">
      <c r="A39" s="34" t="s">
        <v>68</v>
      </c>
      <c r="B39" s="83">
        <f>B13</f>
        <v>3252.02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3252.02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1773.97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1773.97</v>
      </c>
      <c r="I40" s="85"/>
      <c r="J40" s="5">
        <v>2040</v>
      </c>
      <c r="K40" s="86">
        <f>SUM(K26:K39)</f>
        <v>18257.900000000001</v>
      </c>
      <c r="N40" s="1">
        <v>2040</v>
      </c>
      <c r="O40" s="1"/>
      <c r="P40" s="5">
        <v>2</v>
      </c>
      <c r="Q40" s="5">
        <v>2040</v>
      </c>
      <c r="R40" s="86">
        <f>SUM(R26:R39)</f>
        <v>23702.179999999997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2671.33</v>
      </c>
      <c r="C42" s="27">
        <f>B42-F42-G42-H42</f>
        <v>0</v>
      </c>
      <c r="D42" s="4">
        <v>6580</v>
      </c>
      <c r="F42" s="90">
        <v>146.44999999999999</v>
      </c>
      <c r="G42" s="90">
        <v>763.15</v>
      </c>
      <c r="H42" s="37">
        <f>B42-F42-G42</f>
        <v>1761.73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624.77</v>
      </c>
      <c r="C43" s="27">
        <f>B43-F43-G43-H43</f>
        <v>0</v>
      </c>
      <c r="D43" s="4">
        <v>6580</v>
      </c>
      <c r="F43" s="90">
        <v>34.25</v>
      </c>
      <c r="G43" s="90">
        <v>178.48</v>
      </c>
      <c r="H43" s="37">
        <f>B43-F43-G43</f>
        <v>412.03999999999996</v>
      </c>
      <c r="I43" s="12">
        <v>3</v>
      </c>
      <c r="J43" s="13">
        <v>6500</v>
      </c>
      <c r="K43" s="92">
        <f>F7</f>
        <v>3961.15</v>
      </c>
      <c r="M43" s="5" t="s">
        <v>71</v>
      </c>
      <c r="O43" s="1"/>
      <c r="P43" s="5">
        <v>3</v>
      </c>
      <c r="Q43" s="13">
        <v>6500</v>
      </c>
      <c r="R43" s="33">
        <f>+K43*$R$6</f>
        <v>4753.38</v>
      </c>
      <c r="S43" s="32"/>
    </row>
    <row r="44" spans="1:22" x14ac:dyDescent="0.25">
      <c r="A44" s="34" t="s">
        <v>72</v>
      </c>
      <c r="B44" s="89">
        <v>16.72</v>
      </c>
      <c r="C44" s="27">
        <f>B44-F44-G44-H44</f>
        <v>0</v>
      </c>
      <c r="D44" s="4">
        <v>6580</v>
      </c>
      <c r="F44" s="90"/>
      <c r="G44" s="91"/>
      <c r="H44" s="37">
        <f>B44-G44-F44</f>
        <v>16.72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92.82</v>
      </c>
      <c r="C45" s="27">
        <f>B45-F45-G45-H45</f>
        <v>0</v>
      </c>
      <c r="D45" s="4">
        <v>6580</v>
      </c>
      <c r="F45" s="90"/>
      <c r="G45" s="94">
        <v>17.62</v>
      </c>
      <c r="H45" s="37">
        <f>B45-G45-F45</f>
        <v>75.199999999999989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4.04</v>
      </c>
      <c r="C46" s="27">
        <f>B46-F46-G46-H46</f>
        <v>0</v>
      </c>
      <c r="F46" s="96"/>
      <c r="G46" s="96"/>
      <c r="H46" s="37">
        <f>B46-G46-F46</f>
        <v>4.04</v>
      </c>
      <c r="I46" s="12">
        <v>3</v>
      </c>
      <c r="J46" s="13">
        <v>6580</v>
      </c>
      <c r="K46" s="32">
        <f>ROUND($F$42+$F$43+$F$44+$F$45-$F$15+$F$46,2)</f>
        <v>179.5</v>
      </c>
      <c r="M46" s="39" t="s">
        <v>21</v>
      </c>
      <c r="O46" s="1"/>
      <c r="P46" s="5">
        <v>3</v>
      </c>
      <c r="Q46" s="13">
        <v>6580</v>
      </c>
      <c r="R46" s="33">
        <f>+K46*$R$6</f>
        <v>215.4</v>
      </c>
      <c r="S46" s="32"/>
    </row>
    <row r="47" spans="1:22" ht="18.75" thickBot="1" x14ac:dyDescent="0.3">
      <c r="B47" s="97">
        <f>SUM(B42:B46)</f>
        <v>3409.68</v>
      </c>
      <c r="C47" s="27">
        <f>B48-F47-G47-H47</f>
        <v>0</v>
      </c>
      <c r="D47" s="7"/>
      <c r="E47" s="1"/>
      <c r="F47" s="97">
        <f>SUM(F37:F46)</f>
        <v>180.7</v>
      </c>
      <c r="G47" s="97">
        <f>SUM(G37:G46)</f>
        <v>959.25</v>
      </c>
      <c r="H47" s="71">
        <f>SUM(H37:H46)</f>
        <v>10591.800000000001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11731.75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48.93</v>
      </c>
      <c r="M48" s="5" t="s">
        <v>40</v>
      </c>
      <c r="O48" s="1"/>
      <c r="P48" s="5">
        <v>3</v>
      </c>
      <c r="Q48" s="13">
        <v>6300</v>
      </c>
      <c r="R48" s="33">
        <f>+K48*$R$6</f>
        <v>58.715999999999994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-3.77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-4.524</v>
      </c>
      <c r="S50" s="32"/>
    </row>
    <row r="51" spans="1:23" x14ac:dyDescent="0.25">
      <c r="A51" s="25" t="s">
        <v>78</v>
      </c>
      <c r="B51" s="80">
        <f>B23</f>
        <v>2054.9</v>
      </c>
      <c r="C51" s="106"/>
      <c r="D51" s="28">
        <v>6570</v>
      </c>
      <c r="E51" s="29"/>
      <c r="F51" s="81">
        <f>F23</f>
        <v>172.48</v>
      </c>
      <c r="G51" s="107">
        <f>G23</f>
        <v>622.4</v>
      </c>
      <c r="H51" s="31">
        <f>B51-G51-F51</f>
        <v>1260.02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461.52</v>
      </c>
      <c r="C52" s="27"/>
      <c r="F52" s="6">
        <f>F22</f>
        <v>0</v>
      </c>
      <c r="G52" s="88">
        <f>G22</f>
        <v>0</v>
      </c>
      <c r="H52" s="37">
        <f>B52-F52-G52</f>
        <v>461.52</v>
      </c>
      <c r="I52" s="12">
        <v>3</v>
      </c>
      <c r="J52" s="13">
        <v>6570</v>
      </c>
      <c r="K52" s="32">
        <f>-$F$23+$F$51+$F$58</f>
        <v>64.52</v>
      </c>
      <c r="M52" s="5" t="s">
        <v>25</v>
      </c>
      <c r="O52" s="1"/>
      <c r="P52" s="5">
        <v>3</v>
      </c>
      <c r="Q52" s="13">
        <v>6570</v>
      </c>
      <c r="R52" s="33">
        <f>+K52</f>
        <v>64.52</v>
      </c>
      <c r="S52" s="32"/>
    </row>
    <row r="53" spans="1:23" x14ac:dyDescent="0.25">
      <c r="A53" s="34" t="s">
        <v>60</v>
      </c>
      <c r="B53" s="108">
        <f>SUM(B51:B52)</f>
        <v>2516.42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1423.6</v>
      </c>
      <c r="C55" s="111"/>
      <c r="D55" s="4">
        <v>6571</v>
      </c>
      <c r="F55" s="90">
        <v>98.56</v>
      </c>
      <c r="G55" s="90">
        <v>370.58</v>
      </c>
      <c r="H55" s="37">
        <f>B55-F55-G55</f>
        <v>954.46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1826.86</v>
      </c>
      <c r="C56" s="111"/>
      <c r="D56" s="4">
        <v>6571</v>
      </c>
      <c r="F56" s="93"/>
      <c r="G56" s="93"/>
      <c r="H56" s="37">
        <f>B56-F56-G56</f>
        <v>1826.86</v>
      </c>
      <c r="I56" s="12"/>
      <c r="J56" s="13"/>
      <c r="K56" s="86">
        <f>SUM(K43:K55)</f>
        <v>4338.1400000000003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5186.0520000000006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645.21</v>
      </c>
      <c r="C58" s="111"/>
      <c r="D58" s="4">
        <v>6570</v>
      </c>
      <c r="F58" s="88">
        <f>ROUND(B58*10%,2)</f>
        <v>64.52</v>
      </c>
      <c r="G58" s="88">
        <f>ROUND(B58*30%,2)</f>
        <v>193.56</v>
      </c>
      <c r="H58" s="37">
        <f>ROUND(B58-F58-G58,2)</f>
        <v>387.13</v>
      </c>
      <c r="I58" s="52">
        <v>1</v>
      </c>
      <c r="J58" s="10">
        <v>1012</v>
      </c>
      <c r="K58" s="113">
        <f>-(K23+K40+K56+K74+K84+K90)-K59</f>
        <v>-51968.61</v>
      </c>
      <c r="M58" s="1"/>
      <c r="N58" s="32">
        <f>+'[6]1012-CNB Checking'!$F$20</f>
        <v>51968.61</v>
      </c>
      <c r="O58" s="114">
        <f>+K58+N58</f>
        <v>0</v>
      </c>
      <c r="P58" s="32"/>
      <c r="R58" s="33"/>
    </row>
    <row r="59" spans="1:23" ht="18.75" thickTop="1" x14ac:dyDescent="0.25">
      <c r="A59" s="34" t="s">
        <v>48</v>
      </c>
      <c r="B59" s="83">
        <f>B24</f>
        <v>451.11</v>
      </c>
      <c r="C59" s="27"/>
      <c r="F59" s="88">
        <f>F24</f>
        <v>0</v>
      </c>
      <c r="G59" s="88">
        <f>G24</f>
        <v>123.58</v>
      </c>
      <c r="H59" s="37">
        <f>B59-F59-G59</f>
        <v>327.53000000000003</v>
      </c>
      <c r="I59" s="52">
        <v>1</v>
      </c>
      <c r="J59" s="10"/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345</v>
      </c>
      <c r="C60" s="27"/>
      <c r="F60" s="88">
        <f>F25</f>
        <v>101.95</v>
      </c>
      <c r="G60" s="88">
        <f>G25</f>
        <v>0</v>
      </c>
      <c r="H60" s="37">
        <f>B60-F60-G60</f>
        <v>243.05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5381.34</v>
      </c>
      <c r="C61" s="117"/>
      <c r="D61" s="7"/>
      <c r="E61" s="1"/>
      <c r="F61" s="71">
        <f>F51+F55</f>
        <v>271.03999999999996</v>
      </c>
      <c r="G61" s="71">
        <f>G51+G55</f>
        <v>992.98</v>
      </c>
      <c r="H61" s="118">
        <f>B61-G61</f>
        <v>4388.3600000000006</v>
      </c>
      <c r="I61" s="115">
        <v>1</v>
      </c>
      <c r="J61" s="119">
        <v>1831</v>
      </c>
      <c r="K61" s="120">
        <v>170</v>
      </c>
      <c r="M61" s="5" t="s">
        <v>42</v>
      </c>
      <c r="O61" s="121"/>
      <c r="P61" s="115">
        <v>1</v>
      </c>
      <c r="Q61" s="119">
        <v>1831</v>
      </c>
      <c r="R61" s="163">
        <v>170</v>
      </c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/>
      <c r="M62" s="5" t="s">
        <v>86</v>
      </c>
      <c r="O62" s="1"/>
      <c r="P62" s="115">
        <v>1</v>
      </c>
      <c r="Q62" s="5">
        <v>6565</v>
      </c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85">
        <v>1</v>
      </c>
      <c r="Q63" s="5">
        <v>1831</v>
      </c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>
        <f>34.62-11.54</f>
        <v>23.08</v>
      </c>
      <c r="M64" s="5" t="s">
        <v>89</v>
      </c>
      <c r="O64" s="1"/>
      <c r="P64" s="85">
        <v>1</v>
      </c>
      <c r="Q64" s="5">
        <v>6630</v>
      </c>
      <c r="R64" s="163">
        <f>34.62-11.54</f>
        <v>23.08</v>
      </c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/>
      <c r="M65" s="5" t="s">
        <v>90</v>
      </c>
      <c r="O65" s="1"/>
      <c r="P65" s="85">
        <v>1</v>
      </c>
      <c r="Q65" s="5">
        <v>6630</v>
      </c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2705.17-1675.95</f>
        <v>1029.22</v>
      </c>
      <c r="M66" s="5" t="s">
        <v>91</v>
      </c>
      <c r="O66" s="1"/>
      <c r="P66" s="85">
        <v>1</v>
      </c>
      <c r="Q66" s="5">
        <v>6551</v>
      </c>
      <c r="R66" s="163">
        <f>2705.17-1675.95</f>
        <v>1029.22</v>
      </c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>
        <v>1</v>
      </c>
      <c r="Q67" s="5">
        <v>6012</v>
      </c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>
        <f>487.64+1.69</f>
        <v>489.33</v>
      </c>
      <c r="C70" s="106"/>
      <c r="D70" s="28">
        <v>6300</v>
      </c>
      <c r="E70" s="29"/>
      <c r="F70" s="81">
        <f>B70*F69</f>
        <v>48.933</v>
      </c>
      <c r="G70" s="107">
        <f>B70*G69</f>
        <v>146.79899999999998</v>
      </c>
      <c r="H70" s="31">
        <f>B70*H69-0</f>
        <v>293.59799999999996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48.933</v>
      </c>
      <c r="G71" s="71">
        <f>G70</f>
        <v>146.79899999999998</v>
      </c>
      <c r="H71" s="118">
        <f>H70</f>
        <v>293.59799999999996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51479.28</v>
      </c>
      <c r="F74" s="6"/>
      <c r="I74" s="85" t="s">
        <v>97</v>
      </c>
      <c r="K74" s="129">
        <f>SUM(K61:K73)</f>
        <v>1222.3</v>
      </c>
      <c r="O74" s="1"/>
      <c r="R74" s="162"/>
    </row>
    <row r="75" spans="1:20" ht="18.75" thickBot="1" x14ac:dyDescent="0.3">
      <c r="F75" s="6"/>
      <c r="I75" s="85">
        <v>2</v>
      </c>
      <c r="J75" s="119" t="s">
        <v>107</v>
      </c>
      <c r="K75" s="120">
        <v>105.21</v>
      </c>
      <c r="M75" s="5" t="s">
        <v>86</v>
      </c>
      <c r="O75" s="1"/>
      <c r="P75" s="85">
        <v>2</v>
      </c>
      <c r="Q75" s="119" t="s">
        <v>107</v>
      </c>
      <c r="R75" s="163">
        <v>105.21</v>
      </c>
      <c r="S75" s="32"/>
    </row>
    <row r="76" spans="1:20" x14ac:dyDescent="0.25">
      <c r="A76" s="129" t="s">
        <v>99</v>
      </c>
      <c r="B76" s="26">
        <v>32539.33</v>
      </c>
      <c r="C76" s="130"/>
      <c r="D76" s="131" t="s">
        <v>100</v>
      </c>
      <c r="E76" s="6"/>
      <c r="F76" s="6"/>
      <c r="G76" s="132">
        <v>32539.33</v>
      </c>
      <c r="H76" s="6"/>
      <c r="I76" s="85">
        <v>2</v>
      </c>
      <c r="J76" s="119">
        <v>1831</v>
      </c>
      <c r="K76" s="120">
        <v>11.54</v>
      </c>
      <c r="M76" s="5" t="s">
        <v>42</v>
      </c>
      <c r="O76" s="1"/>
      <c r="P76" s="85">
        <v>2</v>
      </c>
      <c r="Q76" s="119">
        <v>1831</v>
      </c>
      <c r="R76" s="163">
        <v>11.54</v>
      </c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>
        <v>2</v>
      </c>
      <c r="Q77" s="5">
        <v>6630</v>
      </c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/>
      <c r="M78" s="5" t="s">
        <v>90</v>
      </c>
      <c r="O78" s="1"/>
      <c r="P78" s="85">
        <v>2</v>
      </c>
      <c r="Q78" s="5">
        <v>6630</v>
      </c>
      <c r="R78" s="163"/>
      <c r="S78" s="32"/>
    </row>
    <row r="79" spans="1:20" ht="18.75" thickBot="1" x14ac:dyDescent="0.3">
      <c r="A79" s="134" t="s">
        <v>104</v>
      </c>
      <c r="B79" s="135">
        <f>ROUND(SUM(B76:B78),2)</f>
        <v>32539.33</v>
      </c>
      <c r="C79" s="130"/>
      <c r="D79" s="131"/>
      <c r="E79" s="6"/>
      <c r="F79" s="6"/>
      <c r="G79" s="129">
        <f>SUM(G76:G78)</f>
        <v>32539.33</v>
      </c>
      <c r="H79" s="6" t="s">
        <v>105</v>
      </c>
      <c r="I79" s="85">
        <v>2</v>
      </c>
      <c r="J79" s="5">
        <v>6551</v>
      </c>
      <c r="K79" s="120">
        <v>1675.95</v>
      </c>
      <c r="M79" s="5" t="s">
        <v>91</v>
      </c>
      <c r="O79" s="1"/>
      <c r="P79" s="85">
        <v>2</v>
      </c>
      <c r="Q79" s="5">
        <v>6551</v>
      </c>
      <c r="R79" s="163">
        <v>1675.95</v>
      </c>
      <c r="S79" s="32"/>
    </row>
    <row r="80" spans="1:20" ht="18.75" thickBot="1" x14ac:dyDescent="0.3">
      <c r="A80" s="1" t="s">
        <v>106</v>
      </c>
      <c r="B80" s="26">
        <v>51479.28</v>
      </c>
      <c r="H80" s="128" t="str">
        <f>IF(B79-G79=0,"ok","NO")</f>
        <v>ok</v>
      </c>
      <c r="I80" s="85">
        <v>2</v>
      </c>
      <c r="J80" s="5">
        <v>6040</v>
      </c>
      <c r="K80" s="120"/>
      <c r="M80" s="5" t="s">
        <v>131</v>
      </c>
      <c r="O80" s="1"/>
      <c r="P80" s="85">
        <v>2</v>
      </c>
      <c r="Q80" s="5">
        <v>6040</v>
      </c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162"/>
      <c r="S81" s="32"/>
    </row>
    <row r="82" spans="1:19" ht="18.75" thickBot="1" x14ac:dyDescent="0.3">
      <c r="B82" s="3">
        <f>+B80+B81</f>
        <v>51479.28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1792.7</v>
      </c>
      <c r="O84" s="1"/>
      <c r="P84" s="5">
        <v>3</v>
      </c>
      <c r="Q84" s="5">
        <v>6551</v>
      </c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164"/>
      <c r="S85" s="32"/>
    </row>
    <row r="86" spans="1:19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112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3015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38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5B9F3-365C-42EA-883D-3C201C6EF0E9}">
  <sheetPr>
    <tabColor rgb="FF00B0F0"/>
    <pageSetUpPr fitToPage="1"/>
  </sheetPr>
  <dimension ref="A2:Y100"/>
  <sheetViews>
    <sheetView zoomScale="70" zoomScaleNormal="70" zoomScalePageLayoutView="70" workbookViewId="0">
      <selection activeCell="AA20" sqref="AA20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2.8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32" width="10.5" style="5"/>
    <col min="33" max="33" width="19.75" style="5" bestFit="1" customWidth="1"/>
    <col min="34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43594</v>
      </c>
      <c r="K2" s="9"/>
      <c r="M2" s="5" t="s">
        <v>1</v>
      </c>
    </row>
    <row r="3" spans="1:24" ht="18.75" thickBot="1" x14ac:dyDescent="0.3">
      <c r="A3" s="10" t="s">
        <v>2</v>
      </c>
      <c r="B3" s="8">
        <v>43585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B6" s="74"/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>
        <v>1171.6500000000001</v>
      </c>
      <c r="C7" s="27"/>
      <c r="D7" s="28"/>
      <c r="E7" s="29"/>
      <c r="F7" s="30"/>
      <c r="G7" s="146">
        <v>666.66</v>
      </c>
      <c r="H7" s="37">
        <f t="shared" ref="H7:H32" si="0">B7-F7-G7</f>
        <v>504.99000000000012</v>
      </c>
      <c r="I7" s="12">
        <v>1</v>
      </c>
      <c r="J7" s="13">
        <v>6510</v>
      </c>
      <c r="K7" s="32">
        <f>+H7</f>
        <v>504.99000000000012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>
        <v>5551.27</v>
      </c>
      <c r="C8" s="27"/>
      <c r="F8" s="127"/>
      <c r="G8" s="36">
        <v>3984.11</v>
      </c>
      <c r="H8" s="37">
        <f t="shared" si="0"/>
        <v>1567.1600000000003</v>
      </c>
      <c r="I8" s="12">
        <v>1</v>
      </c>
      <c r="J8" s="13">
        <v>6505</v>
      </c>
      <c r="K8" s="32">
        <f>+H8</f>
        <v>1567.1600000000003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/>
      <c r="C9" s="27"/>
      <c r="D9" s="4">
        <v>6500</v>
      </c>
      <c r="F9" s="127"/>
      <c r="G9" s="36"/>
      <c r="H9" s="37">
        <f t="shared" si="0"/>
        <v>0</v>
      </c>
      <c r="I9" s="12">
        <v>1</v>
      </c>
      <c r="J9" s="13">
        <v>6500</v>
      </c>
      <c r="K9" s="32">
        <f>+H9</f>
        <v>0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27"/>
      <c r="F10" s="148"/>
      <c r="G10" s="148"/>
      <c r="H10" s="37">
        <f t="shared" si="0"/>
        <v>0</v>
      </c>
      <c r="I10" s="12">
        <v>1</v>
      </c>
      <c r="J10" s="13">
        <v>6580</v>
      </c>
      <c r="K10" s="32">
        <f>ROUND(H43+H44+H45+H46-H16+H47,2)</f>
        <v>158.53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27"/>
      <c r="F11" s="150"/>
      <c r="G11" s="150"/>
      <c r="H11" s="37">
        <f t="shared" si="0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416.81</v>
      </c>
      <c r="C12" s="27"/>
      <c r="F12" s="41"/>
      <c r="G12" s="41"/>
      <c r="H12" s="37">
        <f>B12-F12-G12</f>
        <v>416.81</v>
      </c>
      <c r="I12" s="12">
        <v>1</v>
      </c>
      <c r="J12" s="13">
        <v>6570</v>
      </c>
      <c r="K12" s="32">
        <f>-H24+H52+H59</f>
        <v>24.374174019622423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97.48</v>
      </c>
      <c r="C13" s="27"/>
      <c r="F13" s="41"/>
      <c r="G13" s="41"/>
      <c r="H13" s="37">
        <f t="shared" si="0"/>
        <v>97.48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>
        <v>33.65</v>
      </c>
      <c r="C14" s="27"/>
      <c r="F14" s="41"/>
      <c r="G14" s="41"/>
      <c r="H14" s="37">
        <f t="shared" si="0"/>
        <v>33.65</v>
      </c>
      <c r="I14" s="12">
        <v>1</v>
      </c>
      <c r="J14" s="13">
        <v>6571</v>
      </c>
      <c r="K14" s="32">
        <f>+H56</f>
        <v>250.72</v>
      </c>
      <c r="L14" s="145"/>
      <c r="M14" s="5" t="s">
        <v>61</v>
      </c>
      <c r="P14" s="1"/>
    </row>
    <row r="15" spans="1:24" x14ac:dyDescent="0.25">
      <c r="A15" s="34" t="s">
        <v>28</v>
      </c>
      <c r="B15" s="151">
        <v>62.3</v>
      </c>
      <c r="C15" s="27"/>
      <c r="F15" s="41"/>
      <c r="G15" s="41"/>
      <c r="H15" s="37">
        <f t="shared" si="0"/>
        <v>62.3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/>
      <c r="C16" s="27"/>
      <c r="F16" s="152"/>
      <c r="G16" s="44"/>
      <c r="H16" s="37">
        <f t="shared" si="0"/>
        <v>0</v>
      </c>
      <c r="I16" s="52">
        <v>1</v>
      </c>
      <c r="J16" s="10">
        <v>2120</v>
      </c>
      <c r="K16" s="21">
        <f>-H17</f>
        <v>-3.169999999999999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1">SUM(R7:R15)</f>
        <v>779.02</v>
      </c>
      <c r="S16" s="154">
        <f t="shared" si="1"/>
        <v>944.95</v>
      </c>
      <c r="T16" s="154">
        <f t="shared" si="1"/>
        <v>348.52</v>
      </c>
      <c r="U16" s="154">
        <f t="shared" si="1"/>
        <v>1512.56</v>
      </c>
      <c r="V16" s="154">
        <f t="shared" si="1"/>
        <v>670.31999999999994</v>
      </c>
      <c r="W16" s="154">
        <f t="shared" si="1"/>
        <v>4475.92</v>
      </c>
      <c r="X16" s="154">
        <f t="shared" si="1"/>
        <v>1797.86</v>
      </c>
    </row>
    <row r="17" spans="1:25" ht="19.5" thickTop="1" thickBot="1" x14ac:dyDescent="0.3">
      <c r="A17" s="34" t="s">
        <v>33</v>
      </c>
      <c r="B17" s="151">
        <v>10.28</v>
      </c>
      <c r="C17" s="27"/>
      <c r="F17" s="152"/>
      <c r="G17" s="44">
        <v>7.11</v>
      </c>
      <c r="H17" s="37">
        <f t="shared" si="0"/>
        <v>3.169999999999999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27"/>
      <c r="D18" s="54"/>
      <c r="E18" s="5"/>
      <c r="F18" s="41"/>
      <c r="G18" s="55"/>
      <c r="H18" s="37">
        <f t="shared" si="0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27"/>
      <c r="D19" s="54"/>
      <c r="E19" s="5"/>
      <c r="F19" s="41"/>
      <c r="G19" s="44"/>
      <c r="H19" s="37">
        <f t="shared" si="0"/>
        <v>0</v>
      </c>
      <c r="I19" s="12">
        <v>1</v>
      </c>
      <c r="J19" s="13">
        <v>6300</v>
      </c>
      <c r="K19" s="82">
        <f>ROUND(H72,2)</f>
        <v>0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27"/>
      <c r="D20" s="4"/>
      <c r="E20" s="5"/>
      <c r="F20" s="41"/>
      <c r="G20" s="55"/>
      <c r="H20" s="37">
        <f t="shared" si="0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27"/>
      <c r="D21" s="4"/>
      <c r="E21" s="5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27"/>
      <c r="D22" s="54"/>
      <c r="E22" s="5"/>
      <c r="F22" s="41"/>
      <c r="G22" s="44"/>
      <c r="H22" s="37">
        <f t="shared" si="0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27"/>
      <c r="D23" s="4"/>
      <c r="E23" s="5"/>
      <c r="F23" s="41"/>
      <c r="G23" s="55"/>
      <c r="H23" s="37">
        <f t="shared" si="0"/>
        <v>0</v>
      </c>
      <c r="I23" s="12"/>
      <c r="J23" s="13"/>
      <c r="K23" s="59">
        <f>SUM(K7:K22)</f>
        <v>2502.6041740196229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>
        <v>386.01</v>
      </c>
      <c r="C24" s="27"/>
      <c r="D24" s="4"/>
      <c r="E24" s="5"/>
      <c r="F24" s="44"/>
      <c r="G24" s="44">
        <v>312.02</v>
      </c>
      <c r="H24" s="37">
        <f t="shared" si="0"/>
        <v>73.990000000000009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27"/>
      <c r="D25" s="4"/>
      <c r="E25" s="5"/>
      <c r="F25" s="41"/>
      <c r="G25" s="44"/>
      <c r="H25" s="37">
        <f t="shared" si="0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27"/>
      <c r="D26" s="4"/>
      <c r="E26" s="5"/>
      <c r="F26" s="44"/>
      <c r="G26" s="44"/>
      <c r="H26" s="37">
        <f t="shared" si="0"/>
        <v>0</v>
      </c>
      <c r="I26" s="12">
        <v>2</v>
      </c>
      <c r="J26" s="13">
        <v>6510</v>
      </c>
      <c r="K26" s="32">
        <f>+G7</f>
        <v>666.66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27"/>
      <c r="D27" s="54"/>
      <c r="E27" s="5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3984.11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63"/>
      <c r="D28" s="4"/>
      <c r="E28" s="5"/>
      <c r="F28" s="41"/>
      <c r="G28" s="55"/>
      <c r="H28" s="37">
        <f t="shared" si="0"/>
        <v>0</v>
      </c>
      <c r="I28" s="12">
        <v>2</v>
      </c>
      <c r="J28" s="13">
        <v>6500</v>
      </c>
      <c r="K28" s="32">
        <f>+G9</f>
        <v>0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27"/>
      <c r="D29" s="54"/>
      <c r="E29" s="5"/>
      <c r="F29" s="41"/>
      <c r="G29" s="44"/>
      <c r="H29" s="37">
        <f t="shared" si="0"/>
        <v>0</v>
      </c>
      <c r="I29" s="12">
        <v>2</v>
      </c>
      <c r="J29" s="13">
        <v>6580</v>
      </c>
      <c r="K29" s="32">
        <f>-G16+G43+G44+G45+G46+G47</f>
        <v>355.78000000000003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65"/>
      <c r="D30" s="54"/>
      <c r="E30" s="5"/>
      <c r="F30" s="66"/>
      <c r="G30" s="67"/>
      <c r="H30" s="37">
        <f t="shared" si="0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27"/>
      <c r="D31" s="4"/>
      <c r="E31" s="5"/>
      <c r="F31" s="68"/>
      <c r="G31" s="67"/>
      <c r="H31" s="37">
        <f t="shared" si="0"/>
        <v>0</v>
      </c>
      <c r="I31" s="12">
        <v>2</v>
      </c>
      <c r="J31" s="13">
        <v>6570</v>
      </c>
      <c r="K31" s="32">
        <f>-G24+G52+G59</f>
        <v>54.705825980377575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27">
        <f t="shared" ref="C32" si="2">B32-F32-G32-H32</f>
        <v>0</v>
      </c>
      <c r="D32" s="4">
        <v>6500</v>
      </c>
      <c r="E32" s="5"/>
      <c r="F32" s="69"/>
      <c r="G32" s="70"/>
      <c r="H32" s="37">
        <f t="shared" si="0"/>
        <v>0</v>
      </c>
      <c r="I32" s="12">
        <v>2</v>
      </c>
      <c r="J32" s="13">
        <v>6571</v>
      </c>
      <c r="K32" s="32">
        <f>G56</f>
        <v>0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5716.39</v>
      </c>
      <c r="C33" s="72">
        <f>B33-F33-G33-H33</f>
        <v>-10.2800000000002</v>
      </c>
      <c r="D33" s="71"/>
      <c r="E33" s="71"/>
      <c r="F33" s="71">
        <f>F7+F8+F10+F11-F12-F13-F14-F15-F16-F30-F21-F27-F26-F29-F18-F22-F19-F24-F23-F25+F31+F32</f>
        <v>0</v>
      </c>
      <c r="G33" s="71">
        <f>G7+G8+G10+G11-G12-G13-G14-G15-G16-G30-G21-G27-G26-G29-G18-G22-G19-G24-G23-G25+G31+G32</f>
        <v>4338.75</v>
      </c>
      <c r="H33" s="71">
        <f>H7+H8+H10+H11-H12-H13-H14-H15-H16-H30-H21-H27-H26-H29-H18-H22-H19-H24-H23-H25+H31+H32-H20-H28</f>
        <v>1387.9200000000005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-7.11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416.81</v>
      </c>
      <c r="C38" s="27">
        <f>B38-F38-G38-H38</f>
        <v>0</v>
      </c>
      <c r="D38" s="28">
        <v>2100</v>
      </c>
      <c r="E38" s="29"/>
      <c r="F38" s="81">
        <v>0</v>
      </c>
      <c r="G38" s="80">
        <v>0</v>
      </c>
      <c r="H38" s="31">
        <f>B38-G38-F38</f>
        <v>416.81</v>
      </c>
      <c r="I38" s="12">
        <v>2</v>
      </c>
      <c r="J38" s="13">
        <v>6300</v>
      </c>
      <c r="K38" s="84">
        <f>ROUND(G72,2)</f>
        <v>0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97.48</v>
      </c>
      <c r="C39" s="27">
        <f>B39-F39-G39-H39</f>
        <v>0</v>
      </c>
      <c r="D39" s="4">
        <v>2100</v>
      </c>
      <c r="E39" s="5"/>
      <c r="F39" s="6">
        <v>0</v>
      </c>
      <c r="G39" s="83">
        <v>0</v>
      </c>
      <c r="H39" s="37">
        <f>B39-G39-F39</f>
        <v>97.48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33.65</v>
      </c>
      <c r="C40" s="27">
        <f>B40-F40-G40-H40</f>
        <v>0</v>
      </c>
      <c r="D40" s="4">
        <v>2110</v>
      </c>
      <c r="E40" s="5"/>
      <c r="F40" s="6">
        <v>0</v>
      </c>
      <c r="G40" s="83">
        <v>0</v>
      </c>
      <c r="H40" s="37">
        <f>B40-G40-F40</f>
        <v>33.65</v>
      </c>
      <c r="I40" s="85"/>
      <c r="J40" s="5"/>
      <c r="K40" s="86">
        <f>SUM(K26:K39)</f>
        <v>5054.1458259803785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62.3</v>
      </c>
      <c r="C41" s="27">
        <f>B41-F41-G41-H41</f>
        <v>0</v>
      </c>
      <c r="D41" s="4">
        <v>2120</v>
      </c>
      <c r="E41" s="5"/>
      <c r="F41" s="6">
        <v>0</v>
      </c>
      <c r="G41" s="83">
        <v>0</v>
      </c>
      <c r="H41" s="37">
        <f>B41-G41-F41</f>
        <v>62.3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416.83</v>
      </c>
      <c r="C43" s="27">
        <f>B43-F43-G43-H43</f>
        <v>0</v>
      </c>
      <c r="D43" s="4">
        <v>6580</v>
      </c>
      <c r="E43" s="5"/>
      <c r="F43" s="90"/>
      <c r="G43" s="90">
        <v>288.35000000000002</v>
      </c>
      <c r="H43" s="37">
        <f>B43-F43-G43</f>
        <v>128.47999999999996</v>
      </c>
      <c r="I43" s="12">
        <v>3</v>
      </c>
      <c r="J43" s="13">
        <v>6510</v>
      </c>
      <c r="K43" s="92">
        <f>+F7</f>
        <v>0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97.48</v>
      </c>
      <c r="C44" s="27">
        <f>B44-F44-G44-H44</f>
        <v>0</v>
      </c>
      <c r="D44" s="4">
        <v>6580</v>
      </c>
      <c r="E44" s="5"/>
      <c r="F44" s="90"/>
      <c r="G44" s="90">
        <v>67.430000000000007</v>
      </c>
      <c r="H44" s="37">
        <f>B44-F44-G44</f>
        <v>30.049999999999997</v>
      </c>
      <c r="I44" s="12">
        <v>3</v>
      </c>
      <c r="J44" s="13">
        <v>6505</v>
      </c>
      <c r="K44" s="92">
        <f>+F8</f>
        <v>0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/>
      <c r="C45" s="27">
        <f>B45-F45-G45-H45</f>
        <v>0</v>
      </c>
      <c r="D45" s="4">
        <v>6580</v>
      </c>
      <c r="E45" s="5"/>
      <c r="F45" s="90"/>
      <c r="G45" s="91"/>
      <c r="H45" s="37">
        <f>B45-G45-F45</f>
        <v>0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/>
      <c r="C46" s="27">
        <f>B46-F46-G46-H46</f>
        <v>0</v>
      </c>
      <c r="D46" s="4">
        <v>6580</v>
      </c>
      <c r="E46" s="5"/>
      <c r="F46" s="93"/>
      <c r="G46" s="94"/>
      <c r="H46" s="37">
        <f>B46-G46-F46</f>
        <v>0</v>
      </c>
      <c r="I46" s="12">
        <v>3</v>
      </c>
      <c r="J46" s="13">
        <v>6580</v>
      </c>
      <c r="K46" s="92">
        <f>-F16+F43+F44+F45+F46+F47</f>
        <v>0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/>
      <c r="C47" s="27">
        <f>B47-F47-G47-H47</f>
        <v>0</v>
      </c>
      <c r="D47" s="4"/>
      <c r="E47" s="5"/>
      <c r="F47" s="95"/>
      <c r="G47" s="96"/>
      <c r="H47" s="37">
        <f>B47-G47-F47</f>
        <v>0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514.30999999999995</v>
      </c>
      <c r="C48" s="27">
        <f>B49-F48-G48-H48</f>
        <v>0</v>
      </c>
      <c r="D48" s="7"/>
      <c r="E48" s="1"/>
      <c r="F48" s="97">
        <f>SUM(F38:F47)</f>
        <v>0</v>
      </c>
      <c r="G48" s="97">
        <f>SUM(G38:G47)</f>
        <v>355.78000000000003</v>
      </c>
      <c r="H48" s="71">
        <f>SUM(H38:H47)</f>
        <v>768.76999999999975</v>
      </c>
      <c r="I48" s="12">
        <v>3</v>
      </c>
      <c r="J48" s="13">
        <v>6300</v>
      </c>
      <c r="K48" s="92">
        <f>ROUND(F72,2)</f>
        <v>0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5" s="33" customFormat="1" ht="19.5" thickTop="1" thickBot="1" x14ac:dyDescent="0.3">
      <c r="A49" s="34" t="s">
        <v>60</v>
      </c>
      <c r="B49" s="98">
        <f>SUM(B38:B47)</f>
        <v>1124.55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5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0</v>
      </c>
      <c r="L50" s="1"/>
      <c r="M50" s="1" t="s">
        <v>34</v>
      </c>
      <c r="N50" s="1"/>
      <c r="O50" s="1"/>
      <c r="P50" s="1"/>
    </row>
    <row r="51" spans="1:25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5" x14ac:dyDescent="0.25">
      <c r="A52" s="25" t="s">
        <v>78</v>
      </c>
      <c r="B52" s="80">
        <f>B24</f>
        <v>386.01</v>
      </c>
      <c r="C52" s="106"/>
      <c r="D52" s="28">
        <v>6570</v>
      </c>
      <c r="E52" s="29"/>
      <c r="F52" s="81">
        <f>F24</f>
        <v>0</v>
      </c>
      <c r="G52" s="107">
        <f>G24</f>
        <v>312.02</v>
      </c>
      <c r="H52" s="31">
        <f>B52-G52-F52</f>
        <v>73.990000000000009</v>
      </c>
      <c r="I52" s="12">
        <v>3</v>
      </c>
      <c r="J52" s="13">
        <v>6570</v>
      </c>
      <c r="K52" s="92">
        <f>F59</f>
        <v>0</v>
      </c>
      <c r="M52" s="5" t="s">
        <v>25</v>
      </c>
      <c r="O52" s="1"/>
      <c r="P52" s="1"/>
    </row>
    <row r="53" spans="1:25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0</v>
      </c>
      <c r="M53" s="5" t="s">
        <v>27</v>
      </c>
      <c r="O53" s="1"/>
      <c r="P53" s="1"/>
    </row>
    <row r="54" spans="1:25" x14ac:dyDescent="0.25">
      <c r="A54" s="34" t="s">
        <v>60</v>
      </c>
      <c r="B54" s="108">
        <f>SUM(B52:B53)</f>
        <v>386.01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5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5" ht="18.75" thickBot="1" x14ac:dyDescent="0.3">
      <c r="A56" s="34" t="s">
        <v>80</v>
      </c>
      <c r="B56" s="110">
        <v>250.72</v>
      </c>
      <c r="C56" s="111"/>
      <c r="D56" s="4">
        <v>6571</v>
      </c>
      <c r="F56" s="90"/>
      <c r="G56" s="91"/>
      <c r="H56" s="37">
        <f>B56-F56-G56</f>
        <v>250.72</v>
      </c>
      <c r="I56" s="12"/>
      <c r="J56" s="13"/>
      <c r="K56" s="86">
        <f>SUM(K43:K55)</f>
        <v>0</v>
      </c>
      <c r="L56" s="1"/>
      <c r="N56" s="1">
        <v>2040</v>
      </c>
      <c r="O56" s="1"/>
      <c r="P56" s="1"/>
      <c r="Q56" s="33">
        <f>+O58+K58</f>
        <v>0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5" ht="18.75" thickTop="1" x14ac:dyDescent="0.25">
      <c r="A57" s="34" t="s">
        <v>61</v>
      </c>
      <c r="B57" s="112">
        <v>36.35</v>
      </c>
      <c r="C57" s="111"/>
      <c r="D57" s="4">
        <v>6571</v>
      </c>
      <c r="F57" s="93"/>
      <c r="G57" s="157"/>
      <c r="H57" s="37">
        <f>B57-F57-G57</f>
        <v>36.35</v>
      </c>
      <c r="I57" s="12"/>
      <c r="J57" s="13"/>
      <c r="K57" s="32"/>
      <c r="M57" s="1" t="s">
        <v>83</v>
      </c>
      <c r="O57" s="1"/>
      <c r="P57" s="1"/>
    </row>
    <row r="58" spans="1:25" ht="18.75" thickBot="1" x14ac:dyDescent="0.3">
      <c r="A58" s="34" t="s">
        <v>82</v>
      </c>
      <c r="B58" s="83">
        <f>+B20</f>
        <v>0</v>
      </c>
      <c r="C58" s="111"/>
      <c r="F58" s="6"/>
      <c r="G58" s="88"/>
      <c r="H58" s="37">
        <f>B58-F58-G58</f>
        <v>0</v>
      </c>
      <c r="I58" s="52">
        <v>1</v>
      </c>
      <c r="J58" s="10">
        <v>1012</v>
      </c>
      <c r="K58" s="113">
        <f>-(K23+K40+K56+K76+K83+K88)-K59-K60</f>
        <v>-7556.7500000000018</v>
      </c>
      <c r="M58" s="1"/>
      <c r="O58" s="114">
        <f>+'[6]1012-CNB Checking'!$F$53</f>
        <v>7556.75</v>
      </c>
      <c r="P58" s="114"/>
      <c r="Y58" s="32">
        <f>+K58+O58</f>
        <v>0</v>
      </c>
    </row>
    <row r="59" spans="1:25" ht="18.75" thickTop="1" x14ac:dyDescent="0.25">
      <c r="A59" s="34" t="s">
        <v>25</v>
      </c>
      <c r="B59" s="110">
        <v>79.08</v>
      </c>
      <c r="C59" s="111"/>
      <c r="D59" s="4">
        <v>6570</v>
      </c>
      <c r="F59" s="160">
        <f>+((F7+F8)/(B8+B7))*B59</f>
        <v>0</v>
      </c>
      <c r="G59" s="88">
        <f>+((G7+G8)/(B7+B8))*B59</f>
        <v>54.705825980377575</v>
      </c>
      <c r="H59" s="37">
        <f>+B59-F59-G59</f>
        <v>24.374174019622423</v>
      </c>
      <c r="I59" s="85">
        <v>1</v>
      </c>
      <c r="K59" s="21"/>
      <c r="O59" s="21"/>
      <c r="P59" s="1"/>
    </row>
    <row r="60" spans="1:25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85">
        <v>1</v>
      </c>
      <c r="K60" s="21"/>
      <c r="O60" s="21"/>
      <c r="P60" s="1"/>
    </row>
    <row r="61" spans="1:25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>B61-F61-G61</f>
        <v>0</v>
      </c>
      <c r="I61" s="85"/>
      <c r="K61" s="21"/>
      <c r="O61" s="21"/>
      <c r="P61" s="1"/>
    </row>
    <row r="62" spans="1:25" ht="18.75" thickBot="1" x14ac:dyDescent="0.3">
      <c r="A62" s="34" t="s">
        <v>60</v>
      </c>
      <c r="B62" s="116">
        <f>B54+B60+B61+B56+B59+B58</f>
        <v>715.81000000000006</v>
      </c>
      <c r="C62" s="117"/>
      <c r="D62" s="7"/>
      <c r="E62" s="1"/>
      <c r="F62" s="71">
        <f>F52+F56</f>
        <v>0</v>
      </c>
      <c r="G62" s="71">
        <f>G52+G56</f>
        <v>312.02</v>
      </c>
      <c r="H62" s="118">
        <f>B62-G62</f>
        <v>403.79000000000008</v>
      </c>
      <c r="I62" s="115" t="s">
        <v>85</v>
      </c>
      <c r="K62" s="32"/>
      <c r="O62" s="1"/>
      <c r="P62" s="1"/>
    </row>
    <row r="63" spans="1:25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5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v>0.1</v>
      </c>
      <c r="G65" s="123">
        <v>0.3</v>
      </c>
      <c r="H65" s="123">
        <v>0.6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0.1</v>
      </c>
      <c r="G70" s="123">
        <f>G65</f>
        <v>0.3</v>
      </c>
      <c r="H70" s="123">
        <f>H65</f>
        <v>0.6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/>
      <c r="C71" s="106"/>
      <c r="D71" s="28">
        <v>6300</v>
      </c>
      <c r="E71" s="29"/>
      <c r="F71" s="81">
        <f>B71*F70</f>
        <v>0</v>
      </c>
      <c r="G71" s="107">
        <f>B71*G70</f>
        <v>0</v>
      </c>
      <c r="H71" s="31">
        <f>B71*H70-0</f>
        <v>0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0</v>
      </c>
      <c r="C72" s="117"/>
      <c r="D72" s="7"/>
      <c r="E72" s="1"/>
      <c r="F72" s="71">
        <f>F71</f>
        <v>0</v>
      </c>
      <c r="G72" s="71">
        <f>G71</f>
        <v>0</v>
      </c>
      <c r="H72" s="118">
        <f>H71</f>
        <v>0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7556.75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5680.04</v>
      </c>
      <c r="C77" s="130"/>
      <c r="D77" s="131" t="s">
        <v>100</v>
      </c>
      <c r="E77" s="6"/>
      <c r="F77" s="6"/>
      <c r="G77" s="132">
        <v>5680.04</v>
      </c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5680.04</v>
      </c>
      <c r="C80" s="130"/>
      <c r="D80" s="131"/>
      <c r="E80" s="6"/>
      <c r="F80" s="6"/>
      <c r="G80" s="129">
        <f>SUM(G77:G79)</f>
        <v>5680.04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7556.75</v>
      </c>
      <c r="C81" s="3"/>
      <c r="D81" s="4"/>
      <c r="E81" s="5"/>
      <c r="F81" s="5"/>
      <c r="G81" s="5"/>
      <c r="H81" s="128" t="str">
        <f>IF(B80-G80=0,"ok","NO")</f>
        <v>ok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0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7556.75</v>
      </c>
      <c r="C83" s="128" t="str">
        <f>IF(B75=B83,"ok","NO")</f>
        <v>ok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0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0BAD4-1DEE-473C-A4E3-0168292C9DBA}">
  <sheetPr>
    <tabColor rgb="FF00B0F0"/>
    <pageSetUpPr fitToPage="1"/>
  </sheetPr>
  <dimension ref="A2:Y100"/>
  <sheetViews>
    <sheetView topLeftCell="A31" zoomScale="70" zoomScaleNormal="70" zoomScalePageLayoutView="70" workbookViewId="0">
      <selection activeCell="I7" sqref="I7:L58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2.8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32" width="10.5" style="5"/>
    <col min="33" max="33" width="19.75" style="5" bestFit="1" customWidth="1"/>
    <col min="34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43600</v>
      </c>
      <c r="K2" s="9"/>
      <c r="M2" s="5" t="s">
        <v>1</v>
      </c>
    </row>
    <row r="3" spans="1:24" ht="18.75" thickBot="1" x14ac:dyDescent="0.3">
      <c r="A3" s="10" t="s">
        <v>2</v>
      </c>
      <c r="B3" s="8">
        <v>43585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B6" s="74"/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/>
      <c r="C7" s="27"/>
      <c r="D7" s="28"/>
      <c r="E7" s="29"/>
      <c r="F7" s="30"/>
      <c r="G7" s="146"/>
      <c r="H7" s="37">
        <f t="shared" ref="H7:H32" si="0">B7-F7-G7</f>
        <v>0</v>
      </c>
      <c r="I7" s="12">
        <v>1</v>
      </c>
      <c r="J7" s="13">
        <v>6510</v>
      </c>
      <c r="K7" s="32">
        <f>+H7</f>
        <v>0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>
        <v>4022.51</v>
      </c>
      <c r="C8" s="27"/>
      <c r="F8" s="127">
        <f>+B8*0.1</f>
        <v>402.25100000000003</v>
      </c>
      <c r="G8" s="36">
        <f>+B8*0.3</f>
        <v>1206.7529999999999</v>
      </c>
      <c r="H8" s="37">
        <f t="shared" si="0"/>
        <v>2413.5060000000003</v>
      </c>
      <c r="I8" s="12">
        <v>1</v>
      </c>
      <c r="J8" s="13">
        <v>6505</v>
      </c>
      <c r="K8" s="32">
        <f>+H8</f>
        <v>2413.5060000000003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/>
      <c r="C9" s="27"/>
      <c r="D9" s="4">
        <v>6500</v>
      </c>
      <c r="F9" s="127"/>
      <c r="G9" s="36"/>
      <c r="H9" s="37">
        <f t="shared" si="0"/>
        <v>0</v>
      </c>
      <c r="I9" s="12">
        <v>1</v>
      </c>
      <c r="J9" s="13">
        <v>6500</v>
      </c>
      <c r="K9" s="32">
        <f>+H9</f>
        <v>0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27"/>
      <c r="F10" s="148"/>
      <c r="G10" s="148"/>
      <c r="H10" s="37">
        <f t="shared" si="0"/>
        <v>0</v>
      </c>
      <c r="I10" s="12">
        <v>1</v>
      </c>
      <c r="J10" s="13">
        <v>6580</v>
      </c>
      <c r="K10" s="32">
        <f>ROUND(H43+H44+H45+H46-H16+H47,2)</f>
        <v>183.92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27"/>
      <c r="F11" s="150"/>
      <c r="G11" s="150"/>
      <c r="H11" s="37">
        <f t="shared" si="0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249.4</v>
      </c>
      <c r="C12" s="27"/>
      <c r="F12" s="41"/>
      <c r="G12" s="41"/>
      <c r="H12" s="37">
        <f>B12-F12-G12</f>
        <v>249.4</v>
      </c>
      <c r="I12" s="12">
        <v>1</v>
      </c>
      <c r="J12" s="13">
        <v>6570</v>
      </c>
      <c r="K12" s="32">
        <f>-H24+H52+H59</f>
        <v>10.764000000000028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58.32</v>
      </c>
      <c r="C13" s="27"/>
      <c r="F13" s="41"/>
      <c r="G13" s="41"/>
      <c r="H13" s="37">
        <f t="shared" si="0"/>
        <v>58.32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>
        <v>378.03</v>
      </c>
      <c r="C14" s="27"/>
      <c r="F14" s="41"/>
      <c r="G14" s="41"/>
      <c r="H14" s="37">
        <f t="shared" si="0"/>
        <v>378.03</v>
      </c>
      <c r="I14" s="12">
        <v>1</v>
      </c>
      <c r="J14" s="13">
        <v>6571</v>
      </c>
      <c r="K14" s="32">
        <f>+H56</f>
        <v>96.545999999999992</v>
      </c>
      <c r="L14" s="145"/>
      <c r="M14" s="5" t="s">
        <v>61</v>
      </c>
      <c r="P14" s="1"/>
    </row>
    <row r="15" spans="1:24" x14ac:dyDescent="0.25">
      <c r="A15" s="34" t="s">
        <v>28</v>
      </c>
      <c r="B15" s="151">
        <v>195.37</v>
      </c>
      <c r="C15" s="27"/>
      <c r="F15" s="41"/>
      <c r="G15" s="41"/>
      <c r="H15" s="37">
        <f t="shared" si="0"/>
        <v>195.37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>
        <v>1.2</v>
      </c>
      <c r="C16" s="27"/>
      <c r="F16" s="152">
        <f>+B16*0.1</f>
        <v>0.12</v>
      </c>
      <c r="G16" s="44">
        <f>+B16*0.3</f>
        <v>0.36</v>
      </c>
      <c r="H16" s="37">
        <f t="shared" si="0"/>
        <v>0.72000000000000008</v>
      </c>
      <c r="I16" s="52">
        <v>1</v>
      </c>
      <c r="J16" s="10">
        <v>2120</v>
      </c>
      <c r="K16" s="21">
        <f>-H17</f>
        <v>-3.6900000000000004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1">SUM(R7:R15)</f>
        <v>779.02</v>
      </c>
      <c r="S16" s="154">
        <f t="shared" si="1"/>
        <v>944.95</v>
      </c>
      <c r="T16" s="154">
        <f t="shared" si="1"/>
        <v>348.52</v>
      </c>
      <c r="U16" s="154">
        <f t="shared" si="1"/>
        <v>1512.56</v>
      </c>
      <c r="V16" s="154">
        <f t="shared" si="1"/>
        <v>670.31999999999994</v>
      </c>
      <c r="W16" s="154">
        <f t="shared" si="1"/>
        <v>4475.92</v>
      </c>
      <c r="X16" s="154">
        <f t="shared" si="1"/>
        <v>1797.86</v>
      </c>
    </row>
    <row r="17" spans="1:25" ht="19.5" thickTop="1" thickBot="1" x14ac:dyDescent="0.3">
      <c r="A17" s="34" t="s">
        <v>33</v>
      </c>
      <c r="B17" s="151">
        <v>6.15</v>
      </c>
      <c r="C17" s="27"/>
      <c r="F17" s="152">
        <f>+B17*0.1</f>
        <v>0.6150000000000001</v>
      </c>
      <c r="G17" s="44">
        <f>+B17*0.3</f>
        <v>1.845</v>
      </c>
      <c r="H17" s="37">
        <f t="shared" si="0"/>
        <v>3.6900000000000004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27"/>
      <c r="D18" s="54"/>
      <c r="E18" s="5"/>
      <c r="F18" s="41"/>
      <c r="G18" s="55"/>
      <c r="H18" s="37">
        <f t="shared" si="0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27"/>
      <c r="D19" s="54"/>
      <c r="E19" s="5"/>
      <c r="F19" s="41"/>
      <c r="G19" s="44"/>
      <c r="H19" s="37">
        <f t="shared" si="0"/>
        <v>0</v>
      </c>
      <c r="I19" s="12">
        <v>1</v>
      </c>
      <c r="J19" s="13">
        <v>6300</v>
      </c>
      <c r="K19" s="82">
        <f>ROUND(H72,2)</f>
        <v>0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27"/>
      <c r="D20" s="4"/>
      <c r="E20" s="5"/>
      <c r="F20" s="41"/>
      <c r="G20" s="55"/>
      <c r="H20" s="37">
        <f t="shared" si="0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27"/>
      <c r="D21" s="4"/>
      <c r="E21" s="5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27"/>
      <c r="D22" s="54"/>
      <c r="E22" s="5"/>
      <c r="F22" s="41"/>
      <c r="G22" s="44"/>
      <c r="H22" s="37">
        <f t="shared" si="0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27"/>
      <c r="D23" s="4"/>
      <c r="E23" s="5"/>
      <c r="F23" s="41"/>
      <c r="G23" s="55"/>
      <c r="H23" s="37">
        <f t="shared" si="0"/>
        <v>0</v>
      </c>
      <c r="I23" s="12"/>
      <c r="J23" s="13"/>
      <c r="K23" s="59">
        <f>SUM(K7:K22)</f>
        <v>2701.0460000000003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>
        <v>402.25</v>
      </c>
      <c r="C24" s="27"/>
      <c r="D24" s="4"/>
      <c r="E24" s="5"/>
      <c r="F24" s="152">
        <f>+B24*0.1</f>
        <v>40.225000000000001</v>
      </c>
      <c r="G24" s="44">
        <f>+B24*0.3</f>
        <v>120.675</v>
      </c>
      <c r="H24" s="37">
        <f t="shared" si="0"/>
        <v>241.34999999999997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27"/>
      <c r="D25" s="4"/>
      <c r="E25" s="5"/>
      <c r="F25" s="41"/>
      <c r="G25" s="44"/>
      <c r="H25" s="37">
        <f t="shared" si="0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27"/>
      <c r="D26" s="4"/>
      <c r="E26" s="5"/>
      <c r="F26" s="44"/>
      <c r="G26" s="44"/>
      <c r="H26" s="37">
        <f t="shared" si="0"/>
        <v>0</v>
      </c>
      <c r="I26" s="12">
        <v>2</v>
      </c>
      <c r="J26" s="13">
        <v>6510</v>
      </c>
      <c r="K26" s="32">
        <f>+G7</f>
        <v>0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27"/>
      <c r="D27" s="54"/>
      <c r="E27" s="5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1206.7529999999999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63"/>
      <c r="D28" s="4"/>
      <c r="E28" s="5"/>
      <c r="F28" s="41"/>
      <c r="G28" s="55"/>
      <c r="H28" s="37">
        <f t="shared" si="0"/>
        <v>0</v>
      </c>
      <c r="I28" s="12">
        <v>2</v>
      </c>
      <c r="J28" s="13">
        <v>6500</v>
      </c>
      <c r="K28" s="32">
        <f>+G9</f>
        <v>0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27"/>
      <c r="D29" s="54"/>
      <c r="E29" s="5"/>
      <c r="F29" s="41"/>
      <c r="G29" s="44"/>
      <c r="H29" s="37">
        <f t="shared" si="0"/>
        <v>0</v>
      </c>
      <c r="I29" s="12">
        <v>2</v>
      </c>
      <c r="J29" s="13">
        <v>6580</v>
      </c>
      <c r="K29" s="32">
        <f>-G16+G43+G44+G45+G46+G47</f>
        <v>91.958999999999989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65"/>
      <c r="D30" s="54"/>
      <c r="E30" s="5"/>
      <c r="F30" s="66"/>
      <c r="G30" s="67"/>
      <c r="H30" s="37">
        <f t="shared" si="0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27"/>
      <c r="D31" s="4"/>
      <c r="E31" s="5"/>
      <c r="F31" s="68"/>
      <c r="G31" s="67"/>
      <c r="H31" s="37">
        <f t="shared" si="0"/>
        <v>0</v>
      </c>
      <c r="I31" s="12">
        <v>2</v>
      </c>
      <c r="J31" s="13">
        <v>6570</v>
      </c>
      <c r="K31" s="32">
        <f>-G24+G52+G59</f>
        <v>5.3820000000000006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27">
        <f t="shared" ref="C32" si="2">B32-F32-G32-H32</f>
        <v>0</v>
      </c>
      <c r="D32" s="4">
        <v>6500</v>
      </c>
      <c r="E32" s="5"/>
      <c r="F32" s="69"/>
      <c r="G32" s="70"/>
      <c r="H32" s="37">
        <f t="shared" si="0"/>
        <v>0</v>
      </c>
      <c r="I32" s="12">
        <v>2</v>
      </c>
      <c r="J32" s="13">
        <v>6571</v>
      </c>
      <c r="K32" s="32">
        <f>G56</f>
        <v>48.272999999999996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2731.7900000000004</v>
      </c>
      <c r="C33" s="72">
        <f>B33-F33-G33-H33</f>
        <v>-6.1499999999996362</v>
      </c>
      <c r="D33" s="71"/>
      <c r="E33" s="71"/>
      <c r="F33" s="71">
        <f>F7+F8+F10+F11-F12-F13-F14-F15-F16-F30-F21-F27-F26-F29-F18-F22-F19-F24-F23-F25+F31+F32</f>
        <v>361.90600000000001</v>
      </c>
      <c r="G33" s="71">
        <f>G7+G8+G10+G11-G12-G13-G14-G15-G16-G30-G21-G27-G26-G29-G18-G22-G19-G24-G23-G25+G31+G32</f>
        <v>1085.7180000000001</v>
      </c>
      <c r="H33" s="71">
        <f>H7+H8+H10+H11-H12-H13-H14-H15-H16-H30-H21-H27-H26-H29-H18-H22-H19-H24-H23-H25+H31+H32-H20-H28</f>
        <v>1290.316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-1.845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249.4</v>
      </c>
      <c r="C38" s="27">
        <f>B38-F38-G38-H38</f>
        <v>0</v>
      </c>
      <c r="D38" s="28">
        <v>2100</v>
      </c>
      <c r="E38" s="29"/>
      <c r="F38" s="81">
        <v>0</v>
      </c>
      <c r="G38" s="80">
        <v>0</v>
      </c>
      <c r="H38" s="31">
        <f>B38-G38-F38</f>
        <v>249.4</v>
      </c>
      <c r="I38" s="12">
        <v>2</v>
      </c>
      <c r="J38" s="13">
        <v>6300</v>
      </c>
      <c r="K38" s="84">
        <f>ROUND(G72,2)</f>
        <v>0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58.32</v>
      </c>
      <c r="C39" s="27">
        <f>B39-F39-G39-H39</f>
        <v>0</v>
      </c>
      <c r="D39" s="4">
        <v>2100</v>
      </c>
      <c r="E39" s="5"/>
      <c r="F39" s="6">
        <v>0</v>
      </c>
      <c r="G39" s="83">
        <v>0</v>
      </c>
      <c r="H39" s="37">
        <f>B39-G39-F39</f>
        <v>58.32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378.03</v>
      </c>
      <c r="C40" s="27">
        <f>B40-F40-G40-H40</f>
        <v>0</v>
      </c>
      <c r="D40" s="4">
        <v>2110</v>
      </c>
      <c r="E40" s="5"/>
      <c r="F40" s="6">
        <v>0</v>
      </c>
      <c r="G40" s="83">
        <v>0</v>
      </c>
      <c r="H40" s="37">
        <f>B40-G40-F40</f>
        <v>378.03</v>
      </c>
      <c r="I40" s="85"/>
      <c r="J40" s="5"/>
      <c r="K40" s="86">
        <f>SUM(K26:K39)</f>
        <v>1350.5219999999999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195.37</v>
      </c>
      <c r="C41" s="27">
        <f>B41-F41-G41-H41</f>
        <v>0</v>
      </c>
      <c r="D41" s="4">
        <v>2120</v>
      </c>
      <c r="E41" s="5"/>
      <c r="F41" s="6">
        <v>0</v>
      </c>
      <c r="G41" s="83">
        <v>0</v>
      </c>
      <c r="H41" s="37">
        <f>B41-G41-F41</f>
        <v>195.37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249.4</v>
      </c>
      <c r="C43" s="27">
        <f>B43-F43-G43-H43</f>
        <v>0</v>
      </c>
      <c r="D43" s="4">
        <v>6580</v>
      </c>
      <c r="E43" s="5"/>
      <c r="F43" s="152">
        <f>+B43*0.1</f>
        <v>24.94</v>
      </c>
      <c r="G43" s="44">
        <f>+B43*0.3</f>
        <v>74.819999999999993</v>
      </c>
      <c r="H43" s="37">
        <f>B43-F43-G43</f>
        <v>149.64000000000001</v>
      </c>
      <c r="I43" s="12">
        <v>3</v>
      </c>
      <c r="J43" s="13">
        <v>6510</v>
      </c>
      <c r="K43" s="92">
        <f>+F7</f>
        <v>0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58.33</v>
      </c>
      <c r="C44" s="27">
        <f>B44-F44-G44-H44</f>
        <v>0</v>
      </c>
      <c r="D44" s="4">
        <v>6580</v>
      </c>
      <c r="E44" s="5"/>
      <c r="F44" s="152">
        <f>+B44*0.1</f>
        <v>5.8330000000000002</v>
      </c>
      <c r="G44" s="44">
        <f>+B44*0.3</f>
        <v>17.498999999999999</v>
      </c>
      <c r="H44" s="37">
        <f>B44-F44-G44</f>
        <v>34.998000000000005</v>
      </c>
      <c r="I44" s="12">
        <v>3</v>
      </c>
      <c r="J44" s="13">
        <v>6505</v>
      </c>
      <c r="K44" s="92">
        <f>+F8</f>
        <v>402.25100000000003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/>
      <c r="C45" s="27">
        <f>B45-F45-G45-H45</f>
        <v>0</v>
      </c>
      <c r="D45" s="4">
        <v>6580</v>
      </c>
      <c r="E45" s="5"/>
      <c r="F45" s="90"/>
      <c r="G45" s="91"/>
      <c r="H45" s="37">
        <f>B45-G45-F45</f>
        <v>0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/>
      <c r="C46" s="27">
        <f>B46-F46-G46-H46</f>
        <v>0</v>
      </c>
      <c r="D46" s="4">
        <v>6580</v>
      </c>
      <c r="E46" s="5"/>
      <c r="F46" s="93"/>
      <c r="G46" s="94"/>
      <c r="H46" s="37">
        <f>B46-G46-F46</f>
        <v>0</v>
      </c>
      <c r="I46" s="12">
        <v>3</v>
      </c>
      <c r="J46" s="13">
        <v>6580</v>
      </c>
      <c r="K46" s="92">
        <f>-F16+F43+F44+F45+F46+F47</f>
        <v>30.652999999999999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/>
      <c r="C47" s="27">
        <f>B47-F47-G47-H47</f>
        <v>0</v>
      </c>
      <c r="D47" s="4"/>
      <c r="E47" s="5"/>
      <c r="F47" s="95"/>
      <c r="G47" s="96"/>
      <c r="H47" s="37">
        <f>B47-G47-F47</f>
        <v>0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307.73</v>
      </c>
      <c r="C48" s="27">
        <f>B49-F48-G48-H48</f>
        <v>0</v>
      </c>
      <c r="D48" s="7"/>
      <c r="E48" s="1"/>
      <c r="F48" s="97">
        <f>SUM(F38:F47)</f>
        <v>30.773000000000003</v>
      </c>
      <c r="G48" s="97">
        <f>SUM(G38:G47)</f>
        <v>92.318999999999988</v>
      </c>
      <c r="H48" s="71">
        <f>SUM(H38:H47)</f>
        <v>1065.758</v>
      </c>
      <c r="I48" s="12">
        <v>3</v>
      </c>
      <c r="J48" s="13">
        <v>6300</v>
      </c>
      <c r="K48" s="92">
        <f>ROUND(F72,2)</f>
        <v>0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5" s="33" customFormat="1" ht="19.5" thickTop="1" thickBot="1" x14ac:dyDescent="0.3">
      <c r="A49" s="34" t="s">
        <v>60</v>
      </c>
      <c r="B49" s="98">
        <f>SUM(B38:B47)</f>
        <v>1188.8499999999999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5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-0.6150000000000001</v>
      </c>
      <c r="L50" s="1"/>
      <c r="M50" s="1" t="s">
        <v>34</v>
      </c>
      <c r="N50" s="1"/>
      <c r="O50" s="1"/>
      <c r="P50" s="1"/>
    </row>
    <row r="51" spans="1:25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5" x14ac:dyDescent="0.25">
      <c r="A52" s="25" t="s">
        <v>78</v>
      </c>
      <c r="B52" s="80">
        <f>B24</f>
        <v>402.25</v>
      </c>
      <c r="C52" s="106"/>
      <c r="D52" s="28">
        <v>6570</v>
      </c>
      <c r="E52" s="29"/>
      <c r="F52" s="81">
        <f>F24</f>
        <v>40.225000000000001</v>
      </c>
      <c r="G52" s="107">
        <f>G24</f>
        <v>120.675</v>
      </c>
      <c r="H52" s="31">
        <f>B52-G52-F52</f>
        <v>241.35</v>
      </c>
      <c r="I52" s="12">
        <v>3</v>
      </c>
      <c r="J52" s="13">
        <v>6570</v>
      </c>
      <c r="K52" s="92">
        <f>F59</f>
        <v>1.7940000000000003</v>
      </c>
      <c r="M52" s="5" t="s">
        <v>25</v>
      </c>
      <c r="O52" s="1"/>
      <c r="P52" s="1"/>
    </row>
    <row r="53" spans="1:25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16.091000000000001</v>
      </c>
      <c r="M53" s="5" t="s">
        <v>27</v>
      </c>
      <c r="O53" s="1"/>
      <c r="P53" s="1"/>
    </row>
    <row r="54" spans="1:25" x14ac:dyDescent="0.25">
      <c r="A54" s="34" t="s">
        <v>60</v>
      </c>
      <c r="B54" s="108">
        <f>SUM(B52:B53)</f>
        <v>402.25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5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5" ht="18.75" thickBot="1" x14ac:dyDescent="0.3">
      <c r="A56" s="34" t="s">
        <v>80</v>
      </c>
      <c r="B56" s="110">
        <v>160.91</v>
      </c>
      <c r="C56" s="111"/>
      <c r="D56" s="4">
        <v>6571</v>
      </c>
      <c r="F56" s="152">
        <f>+B56*0.1</f>
        <v>16.091000000000001</v>
      </c>
      <c r="G56" s="44">
        <f>+B56*0.3</f>
        <v>48.272999999999996</v>
      </c>
      <c r="H56" s="37">
        <f>B56-F56-G56</f>
        <v>96.545999999999992</v>
      </c>
      <c r="I56" s="12"/>
      <c r="J56" s="13"/>
      <c r="K56" s="86">
        <f>SUM(K43:K55)</f>
        <v>450.17400000000004</v>
      </c>
      <c r="L56" s="1"/>
      <c r="N56" s="1">
        <v>2040</v>
      </c>
      <c r="O56" s="1"/>
      <c r="P56" s="1"/>
      <c r="Q56" s="33">
        <f>+O58+K58</f>
        <v>-2.0000000004074536E-3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5" ht="18.75" thickTop="1" x14ac:dyDescent="0.25">
      <c r="A57" s="34" t="s">
        <v>61</v>
      </c>
      <c r="B57" s="112"/>
      <c r="C57" s="111"/>
      <c r="D57" s="4">
        <v>6571</v>
      </c>
      <c r="F57" s="93"/>
      <c r="G57" s="157"/>
      <c r="H57" s="37">
        <f>B57-F57-G57</f>
        <v>0</v>
      </c>
      <c r="I57" s="12"/>
      <c r="J57" s="13"/>
      <c r="K57" s="32"/>
      <c r="M57" s="1" t="s">
        <v>83</v>
      </c>
      <c r="O57" s="1"/>
      <c r="P57" s="1"/>
    </row>
    <row r="58" spans="1:25" ht="18.75" thickBot="1" x14ac:dyDescent="0.3">
      <c r="A58" s="34" t="s">
        <v>82</v>
      </c>
      <c r="B58" s="83">
        <f>+B20</f>
        <v>0</v>
      </c>
      <c r="C58" s="111"/>
      <c r="F58" s="6"/>
      <c r="G58" s="88"/>
      <c r="H58" s="37">
        <f>B58-F58-G58</f>
        <v>0</v>
      </c>
      <c r="I58" s="52">
        <v>1</v>
      </c>
      <c r="J58" s="10">
        <v>1012</v>
      </c>
      <c r="K58" s="113">
        <f>-(K23+K40+K56+K76+K83+K88)-K59-K60</f>
        <v>-4501.7420000000002</v>
      </c>
      <c r="M58" s="1"/>
      <c r="O58" s="114">
        <f>+'[6]1012-CNB Checking'!$F$75</f>
        <v>4501.74</v>
      </c>
      <c r="P58" s="114"/>
      <c r="Y58" s="32">
        <f>+K58+O58</f>
        <v>-2.0000000004074536E-3</v>
      </c>
    </row>
    <row r="59" spans="1:25" ht="18.75" thickTop="1" x14ac:dyDescent="0.25">
      <c r="A59" s="34" t="s">
        <v>25</v>
      </c>
      <c r="B59" s="110">
        <v>17.940000000000001</v>
      </c>
      <c r="C59" s="111"/>
      <c r="D59" s="4">
        <v>6570</v>
      </c>
      <c r="F59" s="160">
        <f>+((F7+F8)/(B8+B7))*B59</f>
        <v>1.7940000000000003</v>
      </c>
      <c r="G59" s="88">
        <f>+((G7+G8)/(B7+B8))*B59</f>
        <v>5.3820000000000006</v>
      </c>
      <c r="H59" s="37">
        <f>+B59-F59-G59</f>
        <v>10.763999999999999</v>
      </c>
      <c r="I59" s="85">
        <v>1</v>
      </c>
      <c r="K59" s="21"/>
      <c r="O59" s="21"/>
      <c r="P59" s="1"/>
    </row>
    <row r="60" spans="1:25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85">
        <v>1</v>
      </c>
      <c r="K60" s="21"/>
      <c r="O60" s="21"/>
      <c r="P60" s="1"/>
    </row>
    <row r="61" spans="1:25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>B61-F61-G61</f>
        <v>0</v>
      </c>
      <c r="I61" s="85"/>
      <c r="K61" s="21"/>
      <c r="O61" s="21"/>
      <c r="P61" s="1"/>
    </row>
    <row r="62" spans="1:25" ht="18.75" thickBot="1" x14ac:dyDescent="0.3">
      <c r="A62" s="34" t="s">
        <v>60</v>
      </c>
      <c r="B62" s="116">
        <f>B54+B60+B61+B56+B59+B58</f>
        <v>581.1</v>
      </c>
      <c r="C62" s="117"/>
      <c r="D62" s="7"/>
      <c r="E62" s="1"/>
      <c r="F62" s="71">
        <f>F52+F56</f>
        <v>56.316000000000003</v>
      </c>
      <c r="G62" s="71">
        <f>G52+G56</f>
        <v>168.94799999999998</v>
      </c>
      <c r="H62" s="118">
        <f>B62-G62</f>
        <v>412.15200000000004</v>
      </c>
      <c r="I62" s="115" t="s">
        <v>85</v>
      </c>
      <c r="K62" s="32"/>
      <c r="O62" s="1"/>
      <c r="P62" s="1"/>
    </row>
    <row r="63" spans="1:25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5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v>0.1</v>
      </c>
      <c r="G65" s="123">
        <v>0.3</v>
      </c>
      <c r="H65" s="123">
        <v>0.6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0.1</v>
      </c>
      <c r="G70" s="123">
        <f>G65</f>
        <v>0.3</v>
      </c>
      <c r="H70" s="123">
        <f>H65</f>
        <v>0.6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/>
      <c r="C71" s="106"/>
      <c r="D71" s="28">
        <v>6300</v>
      </c>
      <c r="E71" s="29"/>
      <c r="F71" s="81">
        <f>B71*F70</f>
        <v>0</v>
      </c>
      <c r="G71" s="107">
        <f>B71*G70</f>
        <v>0</v>
      </c>
      <c r="H71" s="31">
        <f>B71*H70-0</f>
        <v>0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0</v>
      </c>
      <c r="C72" s="117"/>
      <c r="D72" s="7"/>
      <c r="E72" s="1"/>
      <c r="F72" s="71">
        <f>F71</f>
        <v>0</v>
      </c>
      <c r="G72" s="71">
        <f>G71</f>
        <v>0</v>
      </c>
      <c r="H72" s="118">
        <f>H71</f>
        <v>0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4501.74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2731.79</v>
      </c>
      <c r="C77" s="130"/>
      <c r="D77" s="131" t="s">
        <v>100</v>
      </c>
      <c r="E77" s="6"/>
      <c r="F77" s="6"/>
      <c r="G77" s="132">
        <v>2731.79</v>
      </c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2731.79</v>
      </c>
      <c r="C80" s="130"/>
      <c r="D80" s="131"/>
      <c r="E80" s="6"/>
      <c r="F80" s="6"/>
      <c r="G80" s="129">
        <f>SUM(G77:G79)</f>
        <v>2731.79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4501.74</v>
      </c>
      <c r="C81" s="3"/>
      <c r="D81" s="4"/>
      <c r="E81" s="5"/>
      <c r="F81" s="5"/>
      <c r="G81" s="5"/>
      <c r="H81" s="128" t="str">
        <f>IF(B80-G80=0,"ok","NO")</f>
        <v>ok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0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4501.74</v>
      </c>
      <c r="C83" s="128" t="str">
        <f>IF(B75=B83,"ok","NO")</f>
        <v>ok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0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868AF-F4E3-49FC-80EF-B02BD8F1EE0B}">
  <sheetPr>
    <tabColor rgb="FF00B050"/>
    <pageSetUpPr fitToPage="1"/>
  </sheetPr>
  <dimension ref="A2:Z99"/>
  <sheetViews>
    <sheetView zoomScale="70" zoomScaleNormal="70" zoomScalePageLayoutView="70" workbookViewId="0">
      <selection activeCell="R37" sqref="R1:R1048576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4.2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customWidth="1"/>
    <col min="17" max="17" width="15.25" style="5" customWidth="1"/>
    <col min="18" max="18" width="18.125" style="5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43616</v>
      </c>
      <c r="K2" s="9"/>
      <c r="M2" s="5" t="s">
        <v>1</v>
      </c>
    </row>
    <row r="3" spans="1:19" x14ac:dyDescent="0.25">
      <c r="A3" s="10" t="s">
        <v>2</v>
      </c>
      <c r="B3" s="8">
        <v>43609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0.5</v>
      </c>
    </row>
    <row r="7" spans="1:19" x14ac:dyDescent="0.25">
      <c r="A7" s="25" t="s">
        <v>14</v>
      </c>
      <c r="B7" s="26">
        <v>45727.98</v>
      </c>
      <c r="C7" s="27">
        <f>B7-F7-G7-H7</f>
        <v>0</v>
      </c>
      <c r="D7" s="28">
        <v>6500</v>
      </c>
      <c r="E7" s="29"/>
      <c r="F7" s="30">
        <v>3941.06</v>
      </c>
      <c r="G7" s="30">
        <v>17583.47</v>
      </c>
      <c r="H7" s="31">
        <f t="shared" ref="H7:H31" si="0">B7-F7-G7</f>
        <v>24203.450000000004</v>
      </c>
      <c r="I7" s="12">
        <v>1</v>
      </c>
      <c r="J7" s="13">
        <v>6500</v>
      </c>
      <c r="K7" s="32">
        <f>H7</f>
        <v>24203.450000000004</v>
      </c>
      <c r="M7" s="5" t="s">
        <v>15</v>
      </c>
      <c r="P7" s="5">
        <v>1</v>
      </c>
      <c r="Q7" s="13">
        <v>6500</v>
      </c>
      <c r="R7" s="33">
        <f>+K7*$R$6</f>
        <v>12101.725000000002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813.8</v>
      </c>
      <c r="C10" s="27"/>
      <c r="D10" s="4">
        <v>6040</v>
      </c>
      <c r="F10" s="35"/>
      <c r="G10" s="36">
        <v>355.22</v>
      </c>
      <c r="H10" s="37">
        <f t="shared" si="0"/>
        <v>458.57999999999993</v>
      </c>
      <c r="I10" s="12">
        <v>1</v>
      </c>
      <c r="J10" s="13">
        <v>6580</v>
      </c>
      <c r="K10" s="32">
        <f>ROUND($H$42+$H$43+$H$44+$H$45-$H$15+$H$46,2)</f>
        <v>2295.65</v>
      </c>
      <c r="M10" s="39" t="s">
        <v>21</v>
      </c>
      <c r="P10" s="5">
        <v>1</v>
      </c>
      <c r="Q10" s="13">
        <v>6580</v>
      </c>
      <c r="R10" s="33">
        <f>+K10*$R$6</f>
        <v>1147.825</v>
      </c>
      <c r="S10" s="32"/>
    </row>
    <row r="11" spans="1:19" x14ac:dyDescent="0.25">
      <c r="A11" s="34" t="s">
        <v>22</v>
      </c>
      <c r="B11" s="40">
        <v>2714.62</v>
      </c>
      <c r="C11" s="27">
        <f t="shared" ref="C11:C30" si="1">B11-F11-G11-H11</f>
        <v>0</v>
      </c>
      <c r="D11" s="4">
        <v>2100</v>
      </c>
      <c r="F11" s="41"/>
      <c r="G11" s="41"/>
      <c r="H11" s="37">
        <f t="shared" si="0"/>
        <v>2714.62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634.86</v>
      </c>
      <c r="C12" s="27">
        <f t="shared" si="1"/>
        <v>0</v>
      </c>
      <c r="D12" s="4">
        <v>2100</v>
      </c>
      <c r="F12" s="41"/>
      <c r="G12" s="41"/>
      <c r="H12" s="37">
        <f t="shared" si="0"/>
        <v>634.86</v>
      </c>
      <c r="I12" s="12">
        <v>1</v>
      </c>
      <c r="J12" s="13">
        <v>6570</v>
      </c>
      <c r="K12" s="32">
        <f>-H23+H51+H58</f>
        <v>401.72</v>
      </c>
      <c r="M12" s="5" t="s">
        <v>25</v>
      </c>
      <c r="P12" s="5">
        <v>1</v>
      </c>
      <c r="Q12" s="13">
        <v>6570</v>
      </c>
      <c r="R12" s="33">
        <f>+K12*R6</f>
        <v>200.86</v>
      </c>
      <c r="S12" s="32"/>
    </row>
    <row r="13" spans="1:19" x14ac:dyDescent="0.25">
      <c r="A13" s="34" t="s">
        <v>26</v>
      </c>
      <c r="B13" s="42">
        <v>3381.87</v>
      </c>
      <c r="C13" s="27">
        <f t="shared" si="1"/>
        <v>0</v>
      </c>
      <c r="D13" s="4">
        <v>2110</v>
      </c>
      <c r="F13" s="41"/>
      <c r="G13" s="41"/>
      <c r="H13" s="37">
        <f t="shared" si="0"/>
        <v>3381.87</v>
      </c>
      <c r="I13" s="12">
        <v>1</v>
      </c>
      <c r="J13" s="13">
        <v>6571</v>
      </c>
      <c r="K13" s="32">
        <f>ROUND(H55,2)</f>
        <v>939.91</v>
      </c>
      <c r="M13" s="43" t="s">
        <v>27</v>
      </c>
      <c r="P13" s="5">
        <v>1</v>
      </c>
      <c r="Q13" s="13">
        <v>6571</v>
      </c>
      <c r="R13" s="33">
        <f>+K13*$R$6</f>
        <v>469.95499999999998</v>
      </c>
      <c r="S13" s="32"/>
    </row>
    <row r="14" spans="1:19" x14ac:dyDescent="0.25">
      <c r="A14" s="34" t="s">
        <v>28</v>
      </c>
      <c r="B14" s="42">
        <v>1841.42</v>
      </c>
      <c r="C14" s="27">
        <f t="shared" si="1"/>
        <v>0</v>
      </c>
      <c r="D14" s="4">
        <v>2120</v>
      </c>
      <c r="F14" s="41"/>
      <c r="G14" s="41"/>
      <c r="H14" s="37">
        <f t="shared" si="0"/>
        <v>1841.42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25.2</v>
      </c>
      <c r="C15" s="27">
        <f t="shared" si="1"/>
        <v>0</v>
      </c>
      <c r="D15" s="4">
        <v>6580</v>
      </c>
      <c r="F15" s="44">
        <v>3.6</v>
      </c>
      <c r="G15" s="44">
        <v>7.2</v>
      </c>
      <c r="H15" s="37">
        <f t="shared" si="0"/>
        <v>14.399999999999999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/>
    </row>
    <row r="16" spans="1:19" ht="18.75" thickBot="1" x14ac:dyDescent="0.3">
      <c r="A16" s="34" t="s">
        <v>33</v>
      </c>
      <c r="B16" s="51">
        <v>69.95</v>
      </c>
      <c r="C16" s="27">
        <f t="shared" si="1"/>
        <v>0</v>
      </c>
      <c r="D16" s="7">
        <v>2120</v>
      </c>
      <c r="F16" s="44">
        <v>11.31</v>
      </c>
      <c r="G16" s="44">
        <v>20.11</v>
      </c>
      <c r="H16" s="37">
        <f t="shared" si="0"/>
        <v>38.53</v>
      </c>
      <c r="I16" s="52">
        <v>1</v>
      </c>
      <c r="J16" s="10">
        <v>2120</v>
      </c>
      <c r="K16" s="21">
        <f>-H16</f>
        <v>-38.53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-19.265000000000001</v>
      </c>
      <c r="S16" s="32"/>
    </row>
    <row r="17" spans="1:26" x14ac:dyDescent="0.25">
      <c r="A17" s="34" t="s">
        <v>35</v>
      </c>
      <c r="B17" s="53">
        <v>24</v>
      </c>
      <c r="C17" s="27">
        <f t="shared" si="1"/>
        <v>0</v>
      </c>
      <c r="D17" s="54">
        <v>1830</v>
      </c>
      <c r="F17" s="41"/>
      <c r="G17" s="55"/>
      <c r="H17" s="37">
        <f t="shared" si="0"/>
        <v>24</v>
      </c>
      <c r="I17" s="12">
        <v>1</v>
      </c>
      <c r="J17" s="13">
        <v>1830</v>
      </c>
      <c r="K17" s="56">
        <f>ROUND(-H20-H27-H17-H18-H21-H26-H28,2)</f>
        <v>-923.93</v>
      </c>
      <c r="M17" s="5" t="s">
        <v>36</v>
      </c>
      <c r="P17" s="5">
        <v>1</v>
      </c>
      <c r="Q17" s="13">
        <v>1830</v>
      </c>
      <c r="R17" s="33">
        <f>+K17*$R$6</f>
        <v>-461.96499999999997</v>
      </c>
      <c r="S17" s="32"/>
    </row>
    <row r="18" spans="1:26" x14ac:dyDescent="0.25">
      <c r="A18" s="34" t="s">
        <v>37</v>
      </c>
      <c r="B18" s="57">
        <v>87.96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28.079999999999991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57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293.60000000000002</v>
      </c>
      <c r="M19" s="5" t="s">
        <v>40</v>
      </c>
      <c r="P19" s="5">
        <v>1</v>
      </c>
      <c r="Q19" s="13">
        <v>6300</v>
      </c>
      <c r="R19" s="33">
        <f>+K19*$R$6</f>
        <v>146.80000000000001</v>
      </c>
      <c r="S19" s="32"/>
    </row>
    <row r="20" spans="1:26" x14ac:dyDescent="0.25">
      <c r="A20" s="34" t="s">
        <v>41</v>
      </c>
      <c r="B20" s="57">
        <v>1511.76</v>
      </c>
      <c r="C20" s="27">
        <f t="shared" si="1"/>
        <v>0</v>
      </c>
      <c r="D20" s="4">
        <v>1830</v>
      </c>
      <c r="F20" s="41"/>
      <c r="G20" s="44">
        <v>809.87</v>
      </c>
      <c r="H20" s="37">
        <f t="shared" si="0"/>
        <v>701.89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57">
        <v>174.96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48.960000000000008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57"/>
      <c r="C22" s="27">
        <f t="shared" si="1"/>
        <v>0</v>
      </c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57">
        <v>2046.34</v>
      </c>
      <c r="C23" s="27">
        <f t="shared" si="1"/>
        <v>0</v>
      </c>
      <c r="D23" s="4">
        <v>6570</v>
      </c>
      <c r="F23" s="44">
        <v>172.48</v>
      </c>
      <c r="G23" s="44">
        <v>621.17999999999995</v>
      </c>
      <c r="H23" s="37">
        <f t="shared" si="0"/>
        <v>1252.6799999999998</v>
      </c>
      <c r="I23" s="12"/>
      <c r="J23" s="13"/>
      <c r="K23" s="59">
        <f>SUM(K7:K22)</f>
        <v>27171.870000000006</v>
      </c>
      <c r="N23" s="1">
        <v>2040</v>
      </c>
      <c r="P23" s="5">
        <v>1</v>
      </c>
      <c r="Q23" s="13">
        <v>2040</v>
      </c>
      <c r="R23" s="60">
        <f>SUM(R7:R22)</f>
        <v>13585.935000000003</v>
      </c>
      <c r="S23" s="6"/>
    </row>
    <row r="24" spans="1:26" ht="18.75" thickTop="1" x14ac:dyDescent="0.25">
      <c r="A24" s="34" t="s">
        <v>48</v>
      </c>
      <c r="B24" s="57">
        <v>451.11</v>
      </c>
      <c r="C24" s="27">
        <f t="shared" si="1"/>
        <v>0</v>
      </c>
      <c r="F24" s="41"/>
      <c r="G24" s="44">
        <v>123.58</v>
      </c>
      <c r="H24" s="37">
        <f t="shared" si="0"/>
        <v>327.53000000000003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57">
        <v>345</v>
      </c>
      <c r="C25" s="27">
        <f t="shared" si="1"/>
        <v>0</v>
      </c>
      <c r="F25" s="44">
        <v>101.92</v>
      </c>
      <c r="G25" s="44"/>
      <c r="H25" s="37">
        <f t="shared" si="0"/>
        <v>243.07999999999998</v>
      </c>
      <c r="I25" s="61">
        <v>2</v>
      </c>
      <c r="J25" s="62"/>
      <c r="K25" s="32"/>
      <c r="Q25" s="62"/>
      <c r="R25" s="33"/>
    </row>
    <row r="26" spans="1:26" x14ac:dyDescent="0.25">
      <c r="A26" s="34" t="s">
        <v>50</v>
      </c>
      <c r="B26" s="57">
        <v>63.17</v>
      </c>
      <c r="C26" s="27">
        <f t="shared" si="1"/>
        <v>0</v>
      </c>
      <c r="D26" s="54">
        <v>1830</v>
      </c>
      <c r="F26" s="41"/>
      <c r="G26" s="55"/>
      <c r="H26" s="37">
        <f t="shared" si="0"/>
        <v>63.17</v>
      </c>
      <c r="I26" s="12">
        <v>2</v>
      </c>
      <c r="J26" s="13">
        <v>6500</v>
      </c>
      <c r="K26" s="32">
        <f>G7</f>
        <v>17583.47</v>
      </c>
      <c r="M26" s="5" t="s">
        <v>51</v>
      </c>
      <c r="O26" s="32"/>
      <c r="P26" s="5">
        <v>2</v>
      </c>
      <c r="Q26" s="13">
        <v>6500</v>
      </c>
      <c r="R26" s="33">
        <f>+K26*R6</f>
        <v>8791.7350000000006</v>
      </c>
      <c r="S26" s="32"/>
      <c r="X26" s="32"/>
    </row>
    <row r="27" spans="1:26" x14ac:dyDescent="0.25">
      <c r="A27" s="34" t="s">
        <v>52</v>
      </c>
      <c r="B27" s="57"/>
      <c r="C27" s="63">
        <f t="shared" si="1"/>
        <v>0</v>
      </c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64">
        <v>86.95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57.83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57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933.2</v>
      </c>
      <c r="M29" s="39" t="s">
        <v>21</v>
      </c>
      <c r="P29" s="5">
        <v>2</v>
      </c>
      <c r="Q29" s="13">
        <v>6580</v>
      </c>
      <c r="R29" s="33">
        <f>+K29*R6</f>
        <v>466.6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200.87</v>
      </c>
      <c r="M31" s="5" t="s">
        <v>25</v>
      </c>
      <c r="P31" s="5">
        <v>2</v>
      </c>
      <c r="Q31" s="13">
        <v>6570</v>
      </c>
      <c r="R31" s="33">
        <f>+K31*$R$6</f>
        <v>100.435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</f>
        <v>33082.610000000015</v>
      </c>
      <c r="C32" s="72">
        <f>B32-F32-G32-H32</f>
        <v>0</v>
      </c>
      <c r="D32" s="71"/>
      <c r="E32" s="71"/>
      <c r="F32" s="71">
        <f t="shared" ref="F32:H32" si="2">F7+F8+F10-F11-F12-F13-F14-F15-F16-F19-F29-F20-F26-F25-F28-F17-F21-F18-F23-F22-F24+F30+F31</f>
        <v>3641</v>
      </c>
      <c r="G32" s="71">
        <f t="shared" si="2"/>
        <v>16152.500000000002</v>
      </c>
      <c r="H32" s="71">
        <f t="shared" si="2"/>
        <v>13289.110000000008</v>
      </c>
      <c r="I32" s="12">
        <v>2</v>
      </c>
      <c r="J32" s="13">
        <v>6571</v>
      </c>
      <c r="K32" s="32">
        <f>G55</f>
        <v>369.93</v>
      </c>
      <c r="M32" s="43" t="s">
        <v>27</v>
      </c>
      <c r="P32" s="5">
        <v>2</v>
      </c>
      <c r="Q32" s="13">
        <v>6571</v>
      </c>
      <c r="R32" s="33">
        <f>+K32*$R$6</f>
        <v>184.965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/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-20.11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-10.055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-1014.12</v>
      </c>
      <c r="M36" s="5" t="s">
        <v>36</v>
      </c>
      <c r="O36" s="1"/>
      <c r="P36" s="5">
        <v>2</v>
      </c>
      <c r="Q36" s="13">
        <v>1830</v>
      </c>
      <c r="R36" s="33">
        <f>+K36*$R$6</f>
        <v>-507.06</v>
      </c>
      <c r="S36" s="32"/>
    </row>
    <row r="37" spans="1:22" x14ac:dyDescent="0.25">
      <c r="A37" s="25" t="s">
        <v>66</v>
      </c>
      <c r="B37" s="80">
        <f>B11</f>
        <v>2714.62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2714.62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634.86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634.86</v>
      </c>
      <c r="I38" s="12">
        <v>2</v>
      </c>
      <c r="J38" s="13">
        <v>6300</v>
      </c>
      <c r="K38" s="84">
        <f>ROUND(G70,2)</f>
        <v>146.80000000000001</v>
      </c>
      <c r="M38" s="5" t="s">
        <v>40</v>
      </c>
      <c r="O38" s="1"/>
      <c r="P38" s="5">
        <v>2</v>
      </c>
      <c r="Q38" s="13">
        <v>6300</v>
      </c>
      <c r="R38" s="33">
        <f>+K38*$R$6</f>
        <v>73.400000000000006</v>
      </c>
      <c r="S38" s="32"/>
    </row>
    <row r="39" spans="1:22" x14ac:dyDescent="0.25">
      <c r="A39" s="34" t="s">
        <v>68</v>
      </c>
      <c r="B39" s="83">
        <f>B13</f>
        <v>3381.87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3381.87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1841.42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1841.42</v>
      </c>
      <c r="I40" s="85"/>
      <c r="J40" s="5">
        <v>2040</v>
      </c>
      <c r="K40" s="86">
        <f>SUM(K26:K39)</f>
        <v>18200.04</v>
      </c>
      <c r="N40" s="1">
        <v>2040</v>
      </c>
      <c r="O40" s="1"/>
      <c r="P40" s="5">
        <v>2</v>
      </c>
      <c r="Q40" s="5">
        <v>2040</v>
      </c>
      <c r="R40" s="86">
        <f>SUM(R26:R39)</f>
        <v>9100.02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2714.62</v>
      </c>
      <c r="C42" s="27">
        <f>B42-F42-G42-H42</f>
        <v>0</v>
      </c>
      <c r="D42" s="4">
        <v>6580</v>
      </c>
      <c r="F42" s="90">
        <v>146.44999999999999</v>
      </c>
      <c r="G42" s="90">
        <v>762.15</v>
      </c>
      <c r="H42" s="37">
        <f>B42-F42-G42</f>
        <v>1806.02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634.9</v>
      </c>
      <c r="C43" s="27">
        <f>B43-F43-G43-H43</f>
        <v>0</v>
      </c>
      <c r="D43" s="4">
        <v>6580</v>
      </c>
      <c r="F43" s="90">
        <v>34.25</v>
      </c>
      <c r="G43" s="90">
        <v>178.25</v>
      </c>
      <c r="H43" s="37">
        <f>B43-F43-G43</f>
        <v>422.4</v>
      </c>
      <c r="I43" s="12">
        <v>3</v>
      </c>
      <c r="J43" s="13">
        <v>6500</v>
      </c>
      <c r="K43" s="92">
        <f>F7</f>
        <v>3941.06</v>
      </c>
      <c r="M43" s="5" t="s">
        <v>71</v>
      </c>
      <c r="O43" s="1"/>
      <c r="P43" s="5">
        <v>3</v>
      </c>
      <c r="Q43" s="13">
        <v>6500</v>
      </c>
      <c r="R43" s="33">
        <f>+K43*$R$6</f>
        <v>1970.53</v>
      </c>
      <c r="S43" s="32"/>
    </row>
    <row r="44" spans="1:22" x14ac:dyDescent="0.25">
      <c r="A44" s="34" t="s">
        <v>72</v>
      </c>
      <c r="B44" s="89">
        <v>14.92</v>
      </c>
      <c r="C44" s="27">
        <f>B44-F44-G44-H44</f>
        <v>0</v>
      </c>
      <c r="D44" s="4">
        <v>6580</v>
      </c>
      <c r="F44" s="90"/>
      <c r="G44" s="91"/>
      <c r="H44" s="37">
        <f>B44-G44-F44</f>
        <v>14.92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63.93</v>
      </c>
      <c r="C45" s="27">
        <f>B45-F45-G45-H45</f>
        <v>0</v>
      </c>
      <c r="D45" s="4">
        <v>6580</v>
      </c>
      <c r="F45" s="90"/>
      <c r="G45" s="94"/>
      <c r="H45" s="37">
        <f>B45-G45-F45</f>
        <v>63.93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2.78</v>
      </c>
      <c r="C46" s="27">
        <f>B46-F46-G46-H46</f>
        <v>0</v>
      </c>
      <c r="F46" s="96"/>
      <c r="G46" s="96"/>
      <c r="H46" s="37">
        <f>B46-G46-F46</f>
        <v>2.78</v>
      </c>
      <c r="I46" s="12">
        <v>3</v>
      </c>
      <c r="J46" s="13">
        <v>6580</v>
      </c>
      <c r="K46" s="32">
        <f>ROUND($F$42+$F$43+$F$44+$F$45-$F$15+$F$46,2)</f>
        <v>177.1</v>
      </c>
      <c r="M46" s="39" t="s">
        <v>21</v>
      </c>
      <c r="O46" s="1"/>
      <c r="P46" s="5">
        <v>3</v>
      </c>
      <c r="Q46" s="13">
        <v>6580</v>
      </c>
      <c r="R46" s="33">
        <f>+K46*$R$6</f>
        <v>88.55</v>
      </c>
      <c r="S46" s="32"/>
    </row>
    <row r="47" spans="1:22" ht="18.75" thickBot="1" x14ac:dyDescent="0.3">
      <c r="B47" s="97">
        <f>SUM(B42:B46)</f>
        <v>3431.15</v>
      </c>
      <c r="C47" s="27">
        <f>B48-F47-G47-H47</f>
        <v>0</v>
      </c>
      <c r="D47" s="7"/>
      <c r="E47" s="1"/>
      <c r="F47" s="97">
        <f>SUM(F37:F46)</f>
        <v>180.7</v>
      </c>
      <c r="G47" s="97">
        <f>SUM(G37:G46)</f>
        <v>940.4</v>
      </c>
      <c r="H47" s="71">
        <f>SUM(H37:H46)</f>
        <v>10882.820000000002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12003.92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48.93</v>
      </c>
      <c r="M48" s="5" t="s">
        <v>40</v>
      </c>
      <c r="O48" s="1"/>
      <c r="P48" s="5">
        <v>3</v>
      </c>
      <c r="Q48" s="13">
        <v>6300</v>
      </c>
      <c r="R48" s="33">
        <f>+K48*$R$6</f>
        <v>24.465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-11.31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-5.6550000000000002</v>
      </c>
      <c r="S50" s="32"/>
    </row>
    <row r="51" spans="1:23" x14ac:dyDescent="0.25">
      <c r="A51" s="25" t="s">
        <v>78</v>
      </c>
      <c r="B51" s="80">
        <f>B23</f>
        <v>2046.34</v>
      </c>
      <c r="C51" s="106"/>
      <c r="D51" s="28">
        <v>6570</v>
      </c>
      <c r="E51" s="29"/>
      <c r="F51" s="81">
        <f>F23</f>
        <v>172.48</v>
      </c>
      <c r="G51" s="107">
        <f>G23</f>
        <v>621.17999999999995</v>
      </c>
      <c r="H51" s="31">
        <f>B51-G51-F51</f>
        <v>1252.6799999999998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66.959999999999994</v>
      </c>
      <c r="M52" s="5" t="s">
        <v>25</v>
      </c>
      <c r="O52" s="1"/>
      <c r="P52" s="5">
        <v>3</v>
      </c>
      <c r="Q52" s="13">
        <v>6570</v>
      </c>
      <c r="R52" s="33">
        <f>+K52</f>
        <v>66.959999999999994</v>
      </c>
      <c r="S52" s="32"/>
    </row>
    <row r="53" spans="1:23" x14ac:dyDescent="0.25">
      <c r="A53" s="34" t="s">
        <v>60</v>
      </c>
      <c r="B53" s="108">
        <f>SUM(B51:B52)</f>
        <v>2046.34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1408.4</v>
      </c>
      <c r="C55" s="111"/>
      <c r="D55" s="4">
        <v>6571</v>
      </c>
      <c r="F55" s="90">
        <v>98.56</v>
      </c>
      <c r="G55" s="90">
        <v>369.93</v>
      </c>
      <c r="H55" s="37">
        <f>B55-F55-G55</f>
        <v>939.91000000000008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2185.54</v>
      </c>
      <c r="C56" s="111"/>
      <c r="D56" s="4">
        <v>6571</v>
      </c>
      <c r="F56" s="93"/>
      <c r="G56" s="93"/>
      <c r="H56" s="37">
        <f>B56-F56-G56</f>
        <v>2185.54</v>
      </c>
      <c r="I56" s="12"/>
      <c r="J56" s="13"/>
      <c r="K56" s="86">
        <f>SUM(K43:K55)</f>
        <v>4310.55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2243.41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669.55</v>
      </c>
      <c r="C58" s="111"/>
      <c r="D58" s="4">
        <v>6570</v>
      </c>
      <c r="F58" s="88">
        <f>ROUND(B58*10%,2)</f>
        <v>66.959999999999994</v>
      </c>
      <c r="G58" s="88">
        <f>ROUND(B58*30%,2)</f>
        <v>200.87</v>
      </c>
      <c r="H58" s="37">
        <f>ROUND(B58-F58-G58,2)</f>
        <v>401.72</v>
      </c>
      <c r="I58" s="52">
        <v>1</v>
      </c>
      <c r="J58" s="10">
        <v>1012</v>
      </c>
      <c r="K58" s="113">
        <f>-(K23+K40+K56+K74+K84+K90)-K59</f>
        <v>-50496.260000000009</v>
      </c>
      <c r="M58" s="1"/>
      <c r="N58" s="32">
        <f>+'[6]1012-CNB Checking'!$F$120</f>
        <v>50496.26</v>
      </c>
      <c r="O58" s="114">
        <f>+K58+N58</f>
        <v>0</v>
      </c>
      <c r="P58" s="32"/>
      <c r="R58" s="33"/>
    </row>
    <row r="59" spans="1:23" ht="18.75" thickTop="1" x14ac:dyDescent="0.25">
      <c r="A59" s="34" t="s">
        <v>48</v>
      </c>
      <c r="B59" s="83">
        <f>B24</f>
        <v>451.11</v>
      </c>
      <c r="C59" s="27"/>
      <c r="F59" s="88">
        <f>F24</f>
        <v>0</v>
      </c>
      <c r="G59" s="88">
        <f>G24</f>
        <v>123.58</v>
      </c>
      <c r="H59" s="37">
        <f>B59-F59-G59</f>
        <v>327.53000000000003</v>
      </c>
      <c r="I59" s="52">
        <v>1</v>
      </c>
      <c r="J59" s="10"/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345</v>
      </c>
      <c r="C60" s="27"/>
      <c r="F60" s="88">
        <f>F25</f>
        <v>101.92</v>
      </c>
      <c r="G60" s="88">
        <f>G25</f>
        <v>0</v>
      </c>
      <c r="H60" s="37">
        <f>B60-F60-G60</f>
        <v>243.07999999999998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4920.4000000000005</v>
      </c>
      <c r="C61" s="117"/>
      <c r="D61" s="7"/>
      <c r="E61" s="1"/>
      <c r="F61" s="71">
        <f>F51+F55</f>
        <v>271.03999999999996</v>
      </c>
      <c r="G61" s="71">
        <f>G51+G55</f>
        <v>991.1099999999999</v>
      </c>
      <c r="H61" s="118">
        <f>B61-G61</f>
        <v>3929.2900000000009</v>
      </c>
      <c r="I61" s="115">
        <v>1</v>
      </c>
      <c r="J61" s="119">
        <v>1831</v>
      </c>
      <c r="K61" s="120"/>
      <c r="M61" s="5" t="s">
        <v>42</v>
      </c>
      <c r="O61" s="121"/>
      <c r="P61" s="115">
        <v>1</v>
      </c>
      <c r="Q61" s="119">
        <v>1831</v>
      </c>
      <c r="R61" s="163">
        <v>170</v>
      </c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>
        <f>235.98-K75</f>
        <v>0</v>
      </c>
      <c r="M62" s="5" t="s">
        <v>86</v>
      </c>
      <c r="O62" s="1"/>
      <c r="P62" s="115">
        <v>1</v>
      </c>
      <c r="Q62" s="5">
        <v>6565</v>
      </c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85">
        <v>1</v>
      </c>
      <c r="Q63" s="5">
        <v>1831</v>
      </c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>
        <v>1</v>
      </c>
      <c r="Q64" s="5">
        <v>6630</v>
      </c>
      <c r="R64" s="163">
        <f>34.62-11.54</f>
        <v>23.08</v>
      </c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>
        <f>34.62-K78</f>
        <v>23.08</v>
      </c>
      <c r="M65" s="5" t="s">
        <v>90</v>
      </c>
      <c r="O65" s="1"/>
      <c r="P65" s="85">
        <v>1</v>
      </c>
      <c r="Q65" s="5">
        <v>6630</v>
      </c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543.2-K79</f>
        <v>435.50000000000006</v>
      </c>
      <c r="M66" s="5" t="s">
        <v>91</v>
      </c>
      <c r="O66" s="1"/>
      <c r="P66" s="85">
        <v>1</v>
      </c>
      <c r="Q66" s="5">
        <v>6551</v>
      </c>
      <c r="R66" s="163">
        <f>2705.17-1675.95</f>
        <v>1029.22</v>
      </c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>
        <v>1</v>
      </c>
      <c r="Q67" s="5">
        <v>6012</v>
      </c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>
        <f>487.64+1.69</f>
        <v>489.33</v>
      </c>
      <c r="C70" s="106"/>
      <c r="D70" s="28">
        <v>6300</v>
      </c>
      <c r="E70" s="29"/>
      <c r="F70" s="81">
        <f>B70*F69</f>
        <v>48.933</v>
      </c>
      <c r="G70" s="107">
        <f>B70*G69</f>
        <v>146.79899999999998</v>
      </c>
      <c r="H70" s="31">
        <f>B70*H69-0</f>
        <v>293.59799999999996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48.933</v>
      </c>
      <c r="G71" s="71">
        <f>G70</f>
        <v>146.79899999999998</v>
      </c>
      <c r="H71" s="118">
        <f>H70</f>
        <v>293.59799999999996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50006.93</v>
      </c>
      <c r="F74" s="6"/>
      <c r="I74" s="85" t="s">
        <v>97</v>
      </c>
      <c r="K74" s="129">
        <f>SUM(K61:K73)</f>
        <v>458.58000000000004</v>
      </c>
      <c r="O74" s="1"/>
      <c r="R74" s="162"/>
    </row>
    <row r="75" spans="1:20" ht="18.75" thickBot="1" x14ac:dyDescent="0.3">
      <c r="F75" s="6"/>
      <c r="I75" s="85">
        <v>2</v>
      </c>
      <c r="J75" s="119" t="s">
        <v>107</v>
      </c>
      <c r="K75" s="120">
        <v>235.98</v>
      </c>
      <c r="M75" s="5" t="s">
        <v>86</v>
      </c>
      <c r="O75" s="1"/>
      <c r="P75" s="85">
        <v>2</v>
      </c>
      <c r="Q75" s="119" t="s">
        <v>107</v>
      </c>
      <c r="R75" s="163">
        <v>105.21</v>
      </c>
      <c r="S75" s="32"/>
    </row>
    <row r="76" spans="1:20" x14ac:dyDescent="0.25">
      <c r="A76" s="129" t="s">
        <v>99</v>
      </c>
      <c r="B76" s="26">
        <v>30897.07</v>
      </c>
      <c r="C76" s="130"/>
      <c r="D76" s="131" t="s">
        <v>100</v>
      </c>
      <c r="E76" s="6"/>
      <c r="F76" s="6"/>
      <c r="G76" s="132">
        <v>30897.07</v>
      </c>
      <c r="H76" s="6"/>
      <c r="I76" s="85">
        <v>2</v>
      </c>
      <c r="J76" s="119">
        <v>1831</v>
      </c>
      <c r="K76" s="120"/>
      <c r="M76" s="5" t="s">
        <v>42</v>
      </c>
      <c r="O76" s="1"/>
      <c r="P76" s="85">
        <v>2</v>
      </c>
      <c r="Q76" s="119">
        <v>1831</v>
      </c>
      <c r="R76" s="163">
        <v>11.54</v>
      </c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>
        <v>2</v>
      </c>
      <c r="Q77" s="5">
        <v>6630</v>
      </c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85">
        <v>2</v>
      </c>
      <c r="Q78" s="5">
        <v>6630</v>
      </c>
      <c r="R78" s="163"/>
      <c r="S78" s="32"/>
    </row>
    <row r="79" spans="1:20" ht="18.75" thickBot="1" x14ac:dyDescent="0.3">
      <c r="A79" s="134" t="s">
        <v>104</v>
      </c>
      <c r="B79" s="135">
        <f>ROUND(SUM(B76:B78),2)</f>
        <v>30897.07</v>
      </c>
      <c r="C79" s="130"/>
      <c r="D79" s="131"/>
      <c r="E79" s="6"/>
      <c r="F79" s="6"/>
      <c r="G79" s="129">
        <f>SUM(G76:G78)</f>
        <v>30897.07</v>
      </c>
      <c r="H79" s="6" t="s">
        <v>105</v>
      </c>
      <c r="I79" s="85">
        <v>2</v>
      </c>
      <c r="J79" s="5">
        <v>6551</v>
      </c>
      <c r="K79" s="120">
        <v>107.7</v>
      </c>
      <c r="M79" s="5" t="s">
        <v>91</v>
      </c>
      <c r="O79" s="1"/>
      <c r="P79" s="85">
        <v>2</v>
      </c>
      <c r="Q79" s="5">
        <v>6551</v>
      </c>
      <c r="R79" s="163">
        <v>1675.95</v>
      </c>
      <c r="S79" s="32"/>
    </row>
    <row r="80" spans="1:20" ht="18.75" thickBot="1" x14ac:dyDescent="0.3">
      <c r="A80" s="1" t="s">
        <v>106</v>
      </c>
      <c r="B80" s="26">
        <v>50006.93</v>
      </c>
      <c r="H80" s="128" t="str">
        <f>IF(B79-G79=0,"ok","NO")</f>
        <v>ok</v>
      </c>
      <c r="I80" s="85">
        <v>2</v>
      </c>
      <c r="J80" s="5">
        <v>6040</v>
      </c>
      <c r="K80" s="120"/>
      <c r="M80" s="5" t="s">
        <v>131</v>
      </c>
      <c r="O80" s="1"/>
      <c r="P80" s="85">
        <v>2</v>
      </c>
      <c r="Q80" s="5">
        <v>6040</v>
      </c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162"/>
      <c r="S81" s="32"/>
    </row>
    <row r="82" spans="1:19" ht="18.75" thickBot="1" x14ac:dyDescent="0.3">
      <c r="B82" s="3">
        <f>+B80+B81</f>
        <v>50006.93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355.21999999999997</v>
      </c>
      <c r="O84" s="1"/>
      <c r="P84" s="5">
        <v>3</v>
      </c>
      <c r="Q84" s="5">
        <v>6551</v>
      </c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164"/>
      <c r="S85" s="32"/>
    </row>
    <row r="86" spans="1:19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112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813.8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38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6DD9-B93F-4693-A505-F4BE780B4FC4}">
  <sheetPr>
    <tabColor rgb="FF00B050"/>
    <pageSetUpPr fitToPage="1"/>
  </sheetPr>
  <dimension ref="A2:Z99"/>
  <sheetViews>
    <sheetView zoomScale="70" zoomScaleNormal="70" zoomScalePageLayoutView="70" workbookViewId="0">
      <selection activeCell="V31" sqref="V31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4.2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43601</v>
      </c>
      <c r="K2" s="9"/>
      <c r="M2" s="5" t="s">
        <v>1</v>
      </c>
    </row>
    <row r="3" spans="1:19" x14ac:dyDescent="0.25">
      <c r="A3" s="10" t="s">
        <v>2</v>
      </c>
      <c r="B3" s="8">
        <v>43595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f>1+(0.2)</f>
        <v>1.2</v>
      </c>
    </row>
    <row r="7" spans="1:19" x14ac:dyDescent="0.25">
      <c r="A7" s="25" t="s">
        <v>14</v>
      </c>
      <c r="B7" s="26">
        <v>45520.87</v>
      </c>
      <c r="C7" s="27">
        <f>B7-F7-G7-H7</f>
        <v>0</v>
      </c>
      <c r="D7" s="28">
        <v>6500</v>
      </c>
      <c r="E7" s="29"/>
      <c r="F7" s="30">
        <v>3941.24</v>
      </c>
      <c r="G7" s="30">
        <v>17549.259999999998</v>
      </c>
      <c r="H7" s="31">
        <f t="shared" ref="H7:H31" si="0">B7-F7-G7</f>
        <v>24030.370000000006</v>
      </c>
      <c r="I7" s="12">
        <v>1</v>
      </c>
      <c r="J7" s="13">
        <v>6500</v>
      </c>
      <c r="K7" s="32">
        <f>H7</f>
        <v>24030.370000000006</v>
      </c>
      <c r="M7" s="5" t="s">
        <v>15</v>
      </c>
      <c r="P7" s="5">
        <v>1</v>
      </c>
      <c r="Q7" s="13">
        <v>6500</v>
      </c>
      <c r="R7" s="33">
        <f>+K7*$R$6</f>
        <v>28836.444000000007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2906.35</v>
      </c>
      <c r="C10" s="27"/>
      <c r="D10" s="4">
        <v>6040</v>
      </c>
      <c r="F10" s="35"/>
      <c r="G10" s="36">
        <v>2141.91</v>
      </c>
      <c r="H10" s="37">
        <f t="shared" si="0"/>
        <v>764.44</v>
      </c>
      <c r="I10" s="12">
        <v>1</v>
      </c>
      <c r="J10" s="13">
        <v>6580</v>
      </c>
      <c r="K10" s="32">
        <f>ROUND($H$42+$H$43+$H$44+$H$45-$H$15+$H$46,2)</f>
        <v>2307.6</v>
      </c>
      <c r="M10" s="39" t="s">
        <v>21</v>
      </c>
      <c r="P10" s="5">
        <v>1</v>
      </c>
      <c r="Q10" s="13">
        <v>6580</v>
      </c>
      <c r="R10" s="33">
        <f>+K10*$R$6</f>
        <v>2769.12</v>
      </c>
      <c r="S10" s="32"/>
    </row>
    <row r="11" spans="1:19" x14ac:dyDescent="0.25">
      <c r="A11" s="34" t="s">
        <v>22</v>
      </c>
      <c r="B11" s="40">
        <v>2701.79</v>
      </c>
      <c r="C11" s="27">
        <f t="shared" ref="C11:C30" si="1">B11-F11-G11-H11</f>
        <v>0</v>
      </c>
      <c r="D11" s="4">
        <v>2100</v>
      </c>
      <c r="F11" s="41"/>
      <c r="G11" s="41"/>
      <c r="H11" s="37">
        <f t="shared" si="0"/>
        <v>2701.79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631.86</v>
      </c>
      <c r="C12" s="27">
        <f t="shared" si="1"/>
        <v>0</v>
      </c>
      <c r="D12" s="4">
        <v>2100</v>
      </c>
      <c r="F12" s="41"/>
      <c r="G12" s="41"/>
      <c r="H12" s="37">
        <f t="shared" si="0"/>
        <v>631.86</v>
      </c>
      <c r="I12" s="12">
        <v>1</v>
      </c>
      <c r="J12" s="13">
        <v>6570</v>
      </c>
      <c r="K12" s="32">
        <f>-H23+H51+H58</f>
        <v>397.73</v>
      </c>
      <c r="M12" s="5" t="s">
        <v>25</v>
      </c>
      <c r="P12" s="5">
        <v>1</v>
      </c>
      <c r="Q12" s="13">
        <v>6570</v>
      </c>
      <c r="R12" s="33">
        <f>+K12*R6</f>
        <v>477.27600000000001</v>
      </c>
      <c r="S12" s="32"/>
    </row>
    <row r="13" spans="1:19" x14ac:dyDescent="0.25">
      <c r="A13" s="34" t="s">
        <v>26</v>
      </c>
      <c r="B13" s="42">
        <v>3357.97</v>
      </c>
      <c r="C13" s="27">
        <f t="shared" si="1"/>
        <v>0</v>
      </c>
      <c r="D13" s="4">
        <v>2110</v>
      </c>
      <c r="F13" s="41"/>
      <c r="G13" s="41"/>
      <c r="H13" s="37">
        <f t="shared" si="0"/>
        <v>3357.97</v>
      </c>
      <c r="I13" s="12">
        <v>1</v>
      </c>
      <c r="J13" s="13">
        <v>6571</v>
      </c>
      <c r="K13" s="32">
        <f>ROUND(H55,2)</f>
        <v>939.91</v>
      </c>
      <c r="M13" s="43" t="s">
        <v>27</v>
      </c>
      <c r="P13" s="5">
        <v>1</v>
      </c>
      <c r="Q13" s="13">
        <v>6571</v>
      </c>
      <c r="R13" s="33">
        <f>+K13*$R$6</f>
        <v>1127.8919999999998</v>
      </c>
      <c r="S13" s="32"/>
    </row>
    <row r="14" spans="1:19" x14ac:dyDescent="0.25">
      <c r="A14" s="34" t="s">
        <v>28</v>
      </c>
      <c r="B14" s="42">
        <v>1829.12</v>
      </c>
      <c r="C14" s="27">
        <f t="shared" si="1"/>
        <v>0</v>
      </c>
      <c r="D14" s="4">
        <v>2120</v>
      </c>
      <c r="F14" s="41"/>
      <c r="G14" s="41"/>
      <c r="H14" s="37">
        <f t="shared" si="0"/>
        <v>1829.12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25.2</v>
      </c>
      <c r="C15" s="27">
        <f t="shared" si="1"/>
        <v>0</v>
      </c>
      <c r="D15" s="4">
        <v>6580</v>
      </c>
      <c r="F15" s="44">
        <v>1.2</v>
      </c>
      <c r="G15" s="44">
        <v>7.2</v>
      </c>
      <c r="H15" s="37">
        <f t="shared" si="0"/>
        <v>16.8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>
        <f>SUM(R61:R66)</f>
        <v>1222.3</v>
      </c>
    </row>
    <row r="16" spans="1:19" ht="18.75" thickBot="1" x14ac:dyDescent="0.3">
      <c r="A16" s="34" t="s">
        <v>33</v>
      </c>
      <c r="B16" s="51">
        <v>69.63</v>
      </c>
      <c r="C16" s="27">
        <f t="shared" si="1"/>
        <v>0</v>
      </c>
      <c r="D16" s="7">
        <v>2120</v>
      </c>
      <c r="F16" s="44">
        <v>3.77</v>
      </c>
      <c r="G16" s="44">
        <v>20.059999999999999</v>
      </c>
      <c r="H16" s="37">
        <f t="shared" si="0"/>
        <v>45.8</v>
      </c>
      <c r="I16" s="52">
        <v>1</v>
      </c>
      <c r="J16" s="10">
        <v>2120</v>
      </c>
      <c r="K16" s="21">
        <f>-H16</f>
        <v>-45.8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-54.959999999999994</v>
      </c>
      <c r="S16" s="32"/>
    </row>
    <row r="17" spans="1:26" x14ac:dyDescent="0.25">
      <c r="A17" s="34" t="s">
        <v>35</v>
      </c>
      <c r="B17" s="53">
        <v>24</v>
      </c>
      <c r="C17" s="27">
        <f t="shared" si="1"/>
        <v>0</v>
      </c>
      <c r="D17" s="54">
        <v>1830</v>
      </c>
      <c r="F17" s="41"/>
      <c r="G17" s="55"/>
      <c r="H17" s="37">
        <f t="shared" si="0"/>
        <v>24</v>
      </c>
      <c r="I17" s="12">
        <v>1</v>
      </c>
      <c r="J17" s="13">
        <v>1830</v>
      </c>
      <c r="K17" s="56">
        <f>ROUND(-H20-H27-H17-H18-H21-H26-H28,2)</f>
        <v>-923.93</v>
      </c>
      <c r="M17" s="5" t="s">
        <v>36</v>
      </c>
      <c r="P17" s="5">
        <v>1</v>
      </c>
      <c r="Q17" s="13">
        <v>1830</v>
      </c>
      <c r="R17" s="33">
        <f>+K17*$R$6</f>
        <v>-1108.7159999999999</v>
      </c>
      <c r="S17" s="32"/>
    </row>
    <row r="18" spans="1:26" x14ac:dyDescent="0.25">
      <c r="A18" s="34" t="s">
        <v>37</v>
      </c>
      <c r="B18" s="57">
        <v>87.96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28.079999999999991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57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293.60000000000002</v>
      </c>
      <c r="M19" s="5" t="s">
        <v>40</v>
      </c>
      <c r="P19" s="5">
        <v>1</v>
      </c>
      <c r="Q19" s="13">
        <v>6300</v>
      </c>
      <c r="R19" s="33">
        <f>+K19*$R$6</f>
        <v>352.32</v>
      </c>
      <c r="S19" s="32"/>
    </row>
    <row r="20" spans="1:26" x14ac:dyDescent="0.25">
      <c r="A20" s="34" t="s">
        <v>41</v>
      </c>
      <c r="B20" s="57">
        <v>1511.76</v>
      </c>
      <c r="C20" s="27">
        <f t="shared" si="1"/>
        <v>0</v>
      </c>
      <c r="D20" s="4">
        <v>1830</v>
      </c>
      <c r="F20" s="41"/>
      <c r="G20" s="44">
        <v>809.87</v>
      </c>
      <c r="H20" s="37">
        <f t="shared" si="0"/>
        <v>701.89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57">
        <v>174.96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48.960000000000008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57"/>
      <c r="C22" s="27">
        <f t="shared" si="1"/>
        <v>0</v>
      </c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57">
        <v>2043.62</v>
      </c>
      <c r="C23" s="27">
        <f t="shared" si="1"/>
        <v>0</v>
      </c>
      <c r="D23" s="4">
        <v>6570</v>
      </c>
      <c r="F23" s="44">
        <v>172.48</v>
      </c>
      <c r="G23" s="44">
        <v>618.39</v>
      </c>
      <c r="H23" s="37">
        <f t="shared" si="0"/>
        <v>1252.75</v>
      </c>
      <c r="I23" s="12"/>
      <c r="J23" s="13"/>
      <c r="K23" s="59">
        <f>SUM(K7:K22)</f>
        <v>26999.480000000003</v>
      </c>
      <c r="N23" s="1">
        <v>2040</v>
      </c>
      <c r="P23" s="5">
        <v>1</v>
      </c>
      <c r="Q23" s="13">
        <v>2040</v>
      </c>
      <c r="R23" s="60">
        <f>SUM(R7:R22)</f>
        <v>33621.676000000007</v>
      </c>
      <c r="S23" s="6"/>
    </row>
    <row r="24" spans="1:26" ht="18.75" thickTop="1" x14ac:dyDescent="0.25">
      <c r="A24" s="34" t="s">
        <v>48</v>
      </c>
      <c r="B24" s="57">
        <v>451.11</v>
      </c>
      <c r="C24" s="27">
        <f t="shared" si="1"/>
        <v>0</v>
      </c>
      <c r="F24" s="41"/>
      <c r="G24" s="44">
        <v>123.58</v>
      </c>
      <c r="H24" s="37">
        <f t="shared" si="0"/>
        <v>327.53000000000003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57">
        <v>245</v>
      </c>
      <c r="C25" s="27">
        <f t="shared" si="1"/>
        <v>0</v>
      </c>
      <c r="F25" s="44">
        <v>101.92</v>
      </c>
      <c r="G25" s="44"/>
      <c r="H25" s="37">
        <f t="shared" si="0"/>
        <v>143.07999999999998</v>
      </c>
      <c r="I25" s="61">
        <v>2</v>
      </c>
      <c r="J25" s="62"/>
      <c r="K25" s="32"/>
      <c r="Q25" s="62"/>
      <c r="R25" s="33"/>
    </row>
    <row r="26" spans="1:26" x14ac:dyDescent="0.25">
      <c r="A26" s="34" t="s">
        <v>50</v>
      </c>
      <c r="B26" s="57">
        <v>63.17</v>
      </c>
      <c r="C26" s="27">
        <f t="shared" si="1"/>
        <v>0</v>
      </c>
      <c r="D26" s="54">
        <v>1830</v>
      </c>
      <c r="F26" s="41"/>
      <c r="G26" s="55"/>
      <c r="H26" s="37">
        <f t="shared" si="0"/>
        <v>63.17</v>
      </c>
      <c r="I26" s="12">
        <v>2</v>
      </c>
      <c r="J26" s="13">
        <v>6500</v>
      </c>
      <c r="K26" s="32">
        <f>G7</f>
        <v>17549.259999999998</v>
      </c>
      <c r="M26" s="5" t="s">
        <v>51</v>
      </c>
      <c r="O26" s="32"/>
      <c r="P26" s="5">
        <v>2</v>
      </c>
      <c r="Q26" s="13">
        <v>6500</v>
      </c>
      <c r="R26" s="33">
        <f>+K26*R6</f>
        <v>21059.111999999997</v>
      </c>
      <c r="S26" s="32"/>
      <c r="X26" s="32"/>
    </row>
    <row r="27" spans="1:26" x14ac:dyDescent="0.25">
      <c r="A27" s="34" t="s">
        <v>52</v>
      </c>
      <c r="B27" s="57"/>
      <c r="C27" s="63">
        <f t="shared" si="1"/>
        <v>0</v>
      </c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64">
        <v>86.95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57.83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57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933.71</v>
      </c>
      <c r="M29" s="39" t="s">
        <v>21</v>
      </c>
      <c r="P29" s="5">
        <v>2</v>
      </c>
      <c r="Q29" s="13">
        <v>6580</v>
      </c>
      <c r="R29" s="33">
        <f>+K29*R6</f>
        <v>1120.452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198.86</v>
      </c>
      <c r="M31" s="5" t="s">
        <v>25</v>
      </c>
      <c r="P31" s="5">
        <v>2</v>
      </c>
      <c r="Q31" s="13">
        <v>6570</v>
      </c>
      <c r="R31" s="33">
        <f>+K31*$R$6</f>
        <v>238.63200000000001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</f>
        <v>35123.120000000003</v>
      </c>
      <c r="C32" s="72">
        <f>B32-F32-G32-H32</f>
        <v>0</v>
      </c>
      <c r="D32" s="71"/>
      <c r="E32" s="71"/>
      <c r="F32" s="71">
        <f t="shared" ref="F32:H32" si="2">F7+F8+F10-F11-F12-F13-F14-F15-F16-F19-F29-F20-F26-F25-F28-F17-F21-F18-F23-F22-F24+F30+F31</f>
        <v>3651.12</v>
      </c>
      <c r="G32" s="71">
        <f t="shared" si="2"/>
        <v>17907.819999999996</v>
      </c>
      <c r="H32" s="71">
        <f t="shared" si="2"/>
        <v>13564.180000000006</v>
      </c>
      <c r="I32" s="12">
        <v>2</v>
      </c>
      <c r="J32" s="13">
        <v>6571</v>
      </c>
      <c r="K32" s="32">
        <f>G55</f>
        <v>368.57</v>
      </c>
      <c r="M32" s="43" t="s">
        <v>27</v>
      </c>
      <c r="P32" s="5">
        <v>2</v>
      </c>
      <c r="Q32" s="13">
        <v>6571</v>
      </c>
      <c r="R32" s="33">
        <f>+K32*$R$6</f>
        <v>442.28399999999999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>
        <f>SUM(R75:R81)</f>
        <v>1792.7</v>
      </c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-20.059999999999999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-24.071999999999999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-1014.12</v>
      </c>
      <c r="M36" s="5" t="s">
        <v>36</v>
      </c>
      <c r="O36" s="1"/>
      <c r="P36" s="5">
        <v>2</v>
      </c>
      <c r="Q36" s="13">
        <v>1830</v>
      </c>
      <c r="R36" s="33">
        <f>+K36*$R$6</f>
        <v>-1216.944</v>
      </c>
      <c r="S36" s="32"/>
    </row>
    <row r="37" spans="1:22" x14ac:dyDescent="0.25">
      <c r="A37" s="25" t="s">
        <v>66</v>
      </c>
      <c r="B37" s="80">
        <f>B11</f>
        <v>2701.79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2701.79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631.86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631.86</v>
      </c>
      <c r="I38" s="12">
        <v>2</v>
      </c>
      <c r="J38" s="13">
        <v>6300</v>
      </c>
      <c r="K38" s="84">
        <f>ROUND(G70,2)</f>
        <v>146.80000000000001</v>
      </c>
      <c r="M38" s="5" t="s">
        <v>40</v>
      </c>
      <c r="O38" s="1"/>
      <c r="P38" s="5">
        <v>2</v>
      </c>
      <c r="Q38" s="13">
        <v>6300</v>
      </c>
      <c r="R38" s="33">
        <f>+K38*$R$6</f>
        <v>176.16</v>
      </c>
      <c r="S38" s="32"/>
    </row>
    <row r="39" spans="1:22" x14ac:dyDescent="0.25">
      <c r="A39" s="34" t="s">
        <v>68</v>
      </c>
      <c r="B39" s="83">
        <f>B13</f>
        <v>3357.97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3357.97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1829.12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1829.12</v>
      </c>
      <c r="I40" s="85"/>
      <c r="J40" s="5">
        <v>2040</v>
      </c>
      <c r="K40" s="86">
        <f>SUM(K26:K39)</f>
        <v>18163.019999999997</v>
      </c>
      <c r="N40" s="1">
        <v>2040</v>
      </c>
      <c r="O40" s="1"/>
      <c r="P40" s="5">
        <v>2</v>
      </c>
      <c r="Q40" s="5">
        <v>2040</v>
      </c>
      <c r="R40" s="86">
        <f>SUM(R26:R39)</f>
        <v>23588.324000000001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2701.78</v>
      </c>
      <c r="C42" s="27">
        <f>B42-F42-G42-H42</f>
        <v>0</v>
      </c>
      <c r="D42" s="4">
        <v>6580</v>
      </c>
      <c r="F42" s="90">
        <v>146.44999999999999</v>
      </c>
      <c r="G42" s="90">
        <v>763.15</v>
      </c>
      <c r="H42" s="37">
        <f>B42-F42-G42</f>
        <v>1792.1800000000003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631.9</v>
      </c>
      <c r="C43" s="27">
        <f>B43-F43-G43-H43</f>
        <v>0</v>
      </c>
      <c r="D43" s="4">
        <v>6580</v>
      </c>
      <c r="F43" s="90">
        <v>34.25</v>
      </c>
      <c r="G43" s="90">
        <v>177.76</v>
      </c>
      <c r="H43" s="37">
        <f>B43-F43-G43</f>
        <v>419.89</v>
      </c>
      <c r="I43" s="12">
        <v>3</v>
      </c>
      <c r="J43" s="13">
        <v>6500</v>
      </c>
      <c r="K43" s="92">
        <f>F7</f>
        <v>3941.24</v>
      </c>
      <c r="M43" s="5" t="s">
        <v>71</v>
      </c>
      <c r="O43" s="1"/>
      <c r="P43" s="5">
        <v>3</v>
      </c>
      <c r="Q43" s="13">
        <v>6500</v>
      </c>
      <c r="R43" s="33">
        <f>+K43*$R$6</f>
        <v>4729.4879999999994</v>
      </c>
      <c r="S43" s="32"/>
    </row>
    <row r="44" spans="1:22" x14ac:dyDescent="0.25">
      <c r="A44" s="34" t="s">
        <v>72</v>
      </c>
      <c r="B44" s="89">
        <v>21.12</v>
      </c>
      <c r="C44" s="27">
        <f>B44-F44-G44-H44</f>
        <v>0</v>
      </c>
      <c r="D44" s="4">
        <v>6580</v>
      </c>
      <c r="F44" s="90"/>
      <c r="G44" s="91"/>
      <c r="H44" s="37">
        <f>B44-G44-F44</f>
        <v>21.12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87.41</v>
      </c>
      <c r="C45" s="27">
        <f>B45-F45-G45-H45</f>
        <v>0</v>
      </c>
      <c r="D45" s="4">
        <v>6580</v>
      </c>
      <c r="F45" s="90"/>
      <c r="G45" s="94"/>
      <c r="H45" s="37">
        <f>B45-G45-F45</f>
        <v>87.41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3.8</v>
      </c>
      <c r="C46" s="27">
        <f>B46-F46-G46-H46</f>
        <v>0</v>
      </c>
      <c r="F46" s="96"/>
      <c r="G46" s="96"/>
      <c r="H46" s="37">
        <f>B46-G46-F46</f>
        <v>3.8</v>
      </c>
      <c r="I46" s="12">
        <v>3</v>
      </c>
      <c r="J46" s="13">
        <v>6580</v>
      </c>
      <c r="K46" s="32">
        <f>ROUND($F$42+$F$43+$F$44+$F$45-$F$15+$F$46,2)</f>
        <v>179.5</v>
      </c>
      <c r="M46" s="39" t="s">
        <v>21</v>
      </c>
      <c r="O46" s="1"/>
      <c r="P46" s="5">
        <v>3</v>
      </c>
      <c r="Q46" s="13">
        <v>6580</v>
      </c>
      <c r="R46" s="33">
        <f>+K46*$R$6</f>
        <v>215.4</v>
      </c>
      <c r="S46" s="32"/>
    </row>
    <row r="47" spans="1:22" ht="18.75" thickBot="1" x14ac:dyDescent="0.3">
      <c r="B47" s="97">
        <f>SUM(B42:B46)</f>
        <v>3446.01</v>
      </c>
      <c r="C47" s="27">
        <f>B48-F47-G47-H47</f>
        <v>0</v>
      </c>
      <c r="D47" s="7"/>
      <c r="E47" s="1"/>
      <c r="F47" s="97">
        <f>SUM(F37:F46)</f>
        <v>180.7</v>
      </c>
      <c r="G47" s="97">
        <f>SUM(G37:G46)</f>
        <v>940.91</v>
      </c>
      <c r="H47" s="71">
        <f>SUM(H37:H46)</f>
        <v>10845.14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11966.75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48.93</v>
      </c>
      <c r="M48" s="5" t="s">
        <v>40</v>
      </c>
      <c r="O48" s="1"/>
      <c r="P48" s="5">
        <v>3</v>
      </c>
      <c r="Q48" s="13">
        <v>6300</v>
      </c>
      <c r="R48" s="33">
        <f>+K48*$R$6</f>
        <v>58.715999999999994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-3.77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-4.524</v>
      </c>
      <c r="S50" s="32"/>
    </row>
    <row r="51" spans="1:23" x14ac:dyDescent="0.25">
      <c r="A51" s="25" t="s">
        <v>78</v>
      </c>
      <c r="B51" s="80">
        <f>B23</f>
        <v>2043.62</v>
      </c>
      <c r="C51" s="106"/>
      <c r="D51" s="28">
        <v>6570</v>
      </c>
      <c r="E51" s="29"/>
      <c r="F51" s="81">
        <f>F23</f>
        <v>172.48</v>
      </c>
      <c r="G51" s="107">
        <f>G23</f>
        <v>618.39</v>
      </c>
      <c r="H51" s="31">
        <f>B51-G51-F51</f>
        <v>1252.75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66.290000000000006</v>
      </c>
      <c r="M52" s="5" t="s">
        <v>25</v>
      </c>
      <c r="O52" s="1"/>
      <c r="P52" s="5">
        <v>3</v>
      </c>
      <c r="Q52" s="13">
        <v>6570</v>
      </c>
      <c r="R52" s="33">
        <f>+K52</f>
        <v>66.290000000000006</v>
      </c>
      <c r="S52" s="32"/>
    </row>
    <row r="53" spans="1:23" x14ac:dyDescent="0.25">
      <c r="A53" s="34" t="s">
        <v>60</v>
      </c>
      <c r="B53" s="108">
        <f>SUM(B51:B52)</f>
        <v>2043.62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1407.04</v>
      </c>
      <c r="C55" s="111"/>
      <c r="D55" s="4">
        <v>6571</v>
      </c>
      <c r="F55" s="90">
        <v>98.56</v>
      </c>
      <c r="G55" s="90">
        <v>368.57</v>
      </c>
      <c r="H55" s="37">
        <f>B55-F55-G55</f>
        <v>939.91000000000008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2185.54</v>
      </c>
      <c r="C56" s="111"/>
      <c r="D56" s="4">
        <v>6571</v>
      </c>
      <c r="F56" s="93"/>
      <c r="G56" s="93"/>
      <c r="H56" s="37">
        <f>B56-F56-G56</f>
        <v>2185.54</v>
      </c>
      <c r="I56" s="12"/>
      <c r="J56" s="13"/>
      <c r="K56" s="86">
        <f>SUM(K43:K55)</f>
        <v>4320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5163.9299999999994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662.88</v>
      </c>
      <c r="C58" s="111"/>
      <c r="D58" s="4">
        <v>6570</v>
      </c>
      <c r="F58" s="88">
        <f>ROUND(B58*10%,2)</f>
        <v>66.290000000000006</v>
      </c>
      <c r="G58" s="88">
        <f>ROUND(B58*30%,2)</f>
        <v>198.86</v>
      </c>
      <c r="H58" s="37">
        <f>ROUND(B58-F58-G58,2)</f>
        <v>397.73</v>
      </c>
      <c r="I58" s="52">
        <v>1</v>
      </c>
      <c r="J58" s="10">
        <v>1012</v>
      </c>
      <c r="K58" s="113">
        <f>-(K23+K40+K56+K74+K84+K90)-K59</f>
        <v>-52388.850000000006</v>
      </c>
      <c r="M58" s="1"/>
      <c r="N58" s="32">
        <f>+'[6]1012-CNB Checking'!$F$77</f>
        <v>52388.85</v>
      </c>
      <c r="O58" s="114">
        <f>+K58+N58</f>
        <v>0</v>
      </c>
      <c r="P58" s="32"/>
      <c r="R58" s="33"/>
    </row>
    <row r="59" spans="1:23" ht="18.75" thickTop="1" x14ac:dyDescent="0.25">
      <c r="A59" s="34" t="s">
        <v>48</v>
      </c>
      <c r="B59" s="83">
        <f>B24</f>
        <v>451.11</v>
      </c>
      <c r="C59" s="27"/>
      <c r="F59" s="88">
        <f>F24</f>
        <v>0</v>
      </c>
      <c r="G59" s="88">
        <f>G24</f>
        <v>123.58</v>
      </c>
      <c r="H59" s="37">
        <f>B59-F59-G59</f>
        <v>327.53000000000003</v>
      </c>
      <c r="I59" s="52">
        <v>1</v>
      </c>
      <c r="J59" s="10"/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245</v>
      </c>
      <c r="C60" s="27"/>
      <c r="F60" s="88">
        <f>F25</f>
        <v>101.92</v>
      </c>
      <c r="G60" s="88">
        <f>G25</f>
        <v>0</v>
      </c>
      <c r="H60" s="37">
        <f>B60-F60-G60</f>
        <v>143.07999999999998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4809.6500000000005</v>
      </c>
      <c r="C61" s="117"/>
      <c r="D61" s="7"/>
      <c r="E61" s="1"/>
      <c r="F61" s="71">
        <f>F51+F55</f>
        <v>271.03999999999996</v>
      </c>
      <c r="G61" s="71">
        <f>G51+G55</f>
        <v>986.96</v>
      </c>
      <c r="H61" s="118">
        <f>B61-G61</f>
        <v>3822.6900000000005</v>
      </c>
      <c r="I61" s="115">
        <v>1</v>
      </c>
      <c r="J61" s="119">
        <v>1831</v>
      </c>
      <c r="K61" s="120">
        <v>85</v>
      </c>
      <c r="M61" s="5" t="s">
        <v>42</v>
      </c>
      <c r="O61" s="121"/>
      <c r="P61" s="115">
        <v>1</v>
      </c>
      <c r="Q61" s="119">
        <v>1831</v>
      </c>
      <c r="R61" s="163">
        <v>170</v>
      </c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>
        <v>182.74</v>
      </c>
      <c r="M62" s="5" t="s">
        <v>86</v>
      </c>
      <c r="O62" s="1"/>
      <c r="P62" s="115">
        <v>1</v>
      </c>
      <c r="Q62" s="5">
        <v>6565</v>
      </c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85">
        <v>1</v>
      </c>
      <c r="Q63" s="5">
        <v>1831</v>
      </c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>
        <f>34.62-K77</f>
        <v>23.08</v>
      </c>
      <c r="M64" s="5" t="s">
        <v>89</v>
      </c>
      <c r="O64" s="1"/>
      <c r="P64" s="85">
        <v>1</v>
      </c>
      <c r="Q64" s="5">
        <v>6630</v>
      </c>
      <c r="R64" s="163">
        <f>34.62-11.54</f>
        <v>23.08</v>
      </c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/>
      <c r="M65" s="5" t="s">
        <v>90</v>
      </c>
      <c r="O65" s="1"/>
      <c r="P65" s="85">
        <v>1</v>
      </c>
      <c r="Q65" s="5">
        <v>6630</v>
      </c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2603.99-K79</f>
        <v>473.61999999999989</v>
      </c>
      <c r="M66" s="5" t="s">
        <v>91</v>
      </c>
      <c r="O66" s="1"/>
      <c r="P66" s="85">
        <v>1</v>
      </c>
      <c r="Q66" s="5">
        <v>6551</v>
      </c>
      <c r="R66" s="163">
        <f>2705.17-1675.95</f>
        <v>1029.22</v>
      </c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>
        <v>1</v>
      </c>
      <c r="Q67" s="5">
        <v>6012</v>
      </c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>
        <f>487.64+1.69</f>
        <v>489.33</v>
      </c>
      <c r="C70" s="106"/>
      <c r="D70" s="28">
        <v>6300</v>
      </c>
      <c r="E70" s="29"/>
      <c r="F70" s="81">
        <f>B70*F69</f>
        <v>48.933</v>
      </c>
      <c r="G70" s="107">
        <f>B70*G69</f>
        <v>146.79899999999998</v>
      </c>
      <c r="H70" s="31">
        <f>B70*H69-0</f>
        <v>293.59799999999996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48.933</v>
      </c>
      <c r="G71" s="71">
        <f>G70</f>
        <v>146.79899999999998</v>
      </c>
      <c r="H71" s="118">
        <f>H70</f>
        <v>293.59799999999996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51899.519999999997</v>
      </c>
      <c r="F74" s="6"/>
      <c r="I74" s="85" t="s">
        <v>97</v>
      </c>
      <c r="K74" s="129">
        <f>SUM(K61:K73)</f>
        <v>764.43999999999983</v>
      </c>
      <c r="O74" s="1"/>
      <c r="R74" s="162"/>
    </row>
    <row r="75" spans="1:20" ht="18.75" thickBot="1" x14ac:dyDescent="0.3">
      <c r="F75" s="6"/>
      <c r="I75" s="85">
        <v>2</v>
      </c>
      <c r="J75" s="119" t="s">
        <v>107</v>
      </c>
      <c r="K75" s="120"/>
      <c r="M75" s="5" t="s">
        <v>86</v>
      </c>
      <c r="O75" s="1"/>
      <c r="P75" s="85">
        <v>2</v>
      </c>
      <c r="Q75" s="119" t="s">
        <v>107</v>
      </c>
      <c r="R75" s="163">
        <v>105.21</v>
      </c>
      <c r="S75" s="32"/>
    </row>
    <row r="76" spans="1:20" x14ac:dyDescent="0.25">
      <c r="A76" s="129" t="s">
        <v>99</v>
      </c>
      <c r="B76" s="26">
        <v>32837.58</v>
      </c>
      <c r="C76" s="130"/>
      <c r="D76" s="131" t="s">
        <v>100</v>
      </c>
      <c r="E76" s="6"/>
      <c r="F76" s="6"/>
      <c r="G76" s="132">
        <v>32837.58</v>
      </c>
      <c r="H76" s="6"/>
      <c r="I76" s="85">
        <v>2</v>
      </c>
      <c r="J76" s="119">
        <v>1831</v>
      </c>
      <c r="K76" s="120"/>
      <c r="M76" s="5" t="s">
        <v>42</v>
      </c>
      <c r="O76" s="1"/>
      <c r="P76" s="85">
        <v>2</v>
      </c>
      <c r="Q76" s="119">
        <v>1831</v>
      </c>
      <c r="R76" s="163">
        <v>11.54</v>
      </c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>
        <v>11.54</v>
      </c>
      <c r="M77" s="5" t="s">
        <v>89</v>
      </c>
      <c r="O77" s="1"/>
      <c r="P77" s="85">
        <v>2</v>
      </c>
      <c r="Q77" s="5">
        <v>6630</v>
      </c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/>
      <c r="M78" s="5" t="s">
        <v>90</v>
      </c>
      <c r="O78" s="1"/>
      <c r="P78" s="85">
        <v>2</v>
      </c>
      <c r="Q78" s="5">
        <v>6630</v>
      </c>
      <c r="R78" s="163"/>
      <c r="S78" s="32"/>
    </row>
    <row r="79" spans="1:20" ht="18.75" thickBot="1" x14ac:dyDescent="0.3">
      <c r="A79" s="134" t="s">
        <v>104</v>
      </c>
      <c r="B79" s="135">
        <f>ROUND(SUM(B76:B78),2)</f>
        <v>32837.58</v>
      </c>
      <c r="C79" s="130"/>
      <c r="D79" s="131"/>
      <c r="E79" s="6"/>
      <c r="F79" s="6"/>
      <c r="G79" s="129">
        <f>SUM(G76:G78)</f>
        <v>32837.58</v>
      </c>
      <c r="H79" s="6" t="s">
        <v>105</v>
      </c>
      <c r="I79" s="85">
        <v>2</v>
      </c>
      <c r="J79" s="5">
        <v>6551</v>
      </c>
      <c r="K79" s="120">
        <v>2130.37</v>
      </c>
      <c r="M79" s="5" t="s">
        <v>91</v>
      </c>
      <c r="O79" s="1"/>
      <c r="P79" s="85">
        <v>2</v>
      </c>
      <c r="Q79" s="5">
        <v>6551</v>
      </c>
      <c r="R79" s="163">
        <v>1675.95</v>
      </c>
      <c r="S79" s="32"/>
    </row>
    <row r="80" spans="1:20" ht="18.75" thickBot="1" x14ac:dyDescent="0.3">
      <c r="A80" s="1" t="s">
        <v>106</v>
      </c>
      <c r="B80" s="26">
        <v>51899.519999999997</v>
      </c>
      <c r="H80" s="128" t="str">
        <f>IF(B79-G79=0,"ok","NO")</f>
        <v>ok</v>
      </c>
      <c r="I80" s="85">
        <v>2</v>
      </c>
      <c r="J80" s="5">
        <v>6040</v>
      </c>
      <c r="K80" s="120"/>
      <c r="M80" s="5" t="s">
        <v>131</v>
      </c>
      <c r="O80" s="1"/>
      <c r="P80" s="85">
        <v>2</v>
      </c>
      <c r="Q80" s="5">
        <v>6040</v>
      </c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162"/>
      <c r="S81" s="32"/>
    </row>
    <row r="82" spans="1:19" ht="18.75" thickBot="1" x14ac:dyDescent="0.3">
      <c r="B82" s="3">
        <f>+B80+B81</f>
        <v>51899.519999999997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2141.91</v>
      </c>
      <c r="O84" s="1"/>
      <c r="P84" s="5">
        <v>3</v>
      </c>
      <c r="Q84" s="5">
        <v>6551</v>
      </c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164"/>
      <c r="S85" s="32"/>
    </row>
    <row r="86" spans="1:19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112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2906.3499999999995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7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184E6-A68E-48A1-9B30-E6B50027200C}">
  <sheetPr>
    <tabColor rgb="FF00B050"/>
    <pageSetUpPr fitToPage="1"/>
  </sheetPr>
  <dimension ref="A2:Z99"/>
  <sheetViews>
    <sheetView zoomScale="70" zoomScaleNormal="70" zoomScalePageLayoutView="70" workbookViewId="0">
      <selection activeCell="B83" sqref="B83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4.2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43629</v>
      </c>
      <c r="K2" s="9"/>
      <c r="M2" s="5" t="s">
        <v>1</v>
      </c>
    </row>
    <row r="3" spans="1:19" x14ac:dyDescent="0.25">
      <c r="A3" s="10" t="s">
        <v>2</v>
      </c>
      <c r="B3" s="8">
        <v>43623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f>1+(0.2)</f>
        <v>1.2</v>
      </c>
    </row>
    <row r="7" spans="1:19" x14ac:dyDescent="0.25">
      <c r="A7" s="25" t="s">
        <v>14</v>
      </c>
      <c r="B7" s="26">
        <v>45152.18</v>
      </c>
      <c r="C7" s="27">
        <f>B7-F7-G7-H7</f>
        <v>0</v>
      </c>
      <c r="D7" s="28">
        <v>6500</v>
      </c>
      <c r="E7" s="29"/>
      <c r="F7" s="30">
        <v>3925.73</v>
      </c>
      <c r="G7" s="30">
        <v>17530.34</v>
      </c>
      <c r="H7" s="31">
        <f t="shared" ref="H7:H31" si="0">B7-F7-G7</f>
        <v>23696.109999999997</v>
      </c>
      <c r="I7" s="12">
        <v>1</v>
      </c>
      <c r="J7" s="13">
        <v>6500</v>
      </c>
      <c r="K7" s="32">
        <f>H7</f>
        <v>23696.109999999997</v>
      </c>
      <c r="M7" s="5" t="s">
        <v>15</v>
      </c>
      <c r="P7" s="5">
        <v>1</v>
      </c>
      <c r="Q7" s="13">
        <v>6500</v>
      </c>
      <c r="R7" s="33">
        <f>+K7*$R$6</f>
        <v>28435.331999999995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1505.63</v>
      </c>
      <c r="C10" s="27"/>
      <c r="D10" s="4">
        <v>6040</v>
      </c>
      <c r="F10" s="35"/>
      <c r="G10" s="35">
        <v>1128.5</v>
      </c>
      <c r="H10" s="37">
        <f t="shared" si="0"/>
        <v>377.13000000000011</v>
      </c>
      <c r="I10" s="12">
        <v>1</v>
      </c>
      <c r="J10" s="13">
        <v>6580</v>
      </c>
      <c r="K10" s="32">
        <f>ROUND($H$42+$H$43+$H$44+$H$45-$H$15+$H$46,2)</f>
        <v>2237.5100000000002</v>
      </c>
      <c r="M10" s="39" t="s">
        <v>21</v>
      </c>
      <c r="P10" s="5">
        <v>1</v>
      </c>
      <c r="Q10" s="13">
        <v>6580</v>
      </c>
      <c r="R10" s="33">
        <f>+K10*$R$6</f>
        <v>2685.0120000000002</v>
      </c>
      <c r="S10" s="32"/>
    </row>
    <row r="11" spans="1:19" x14ac:dyDescent="0.25">
      <c r="A11" s="34" t="s">
        <v>22</v>
      </c>
      <c r="B11" s="40">
        <v>2678.93</v>
      </c>
      <c r="C11" s="27">
        <f t="shared" ref="C11:C30" si="1">B11-F11-G11-H11</f>
        <v>0</v>
      </c>
      <c r="D11" s="4">
        <v>2100</v>
      </c>
      <c r="F11" s="41"/>
      <c r="G11" s="41"/>
      <c r="H11" s="37">
        <f t="shared" si="0"/>
        <v>2678.93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626.54</v>
      </c>
      <c r="C12" s="27">
        <f t="shared" si="1"/>
        <v>0</v>
      </c>
      <c r="D12" s="4">
        <v>2100</v>
      </c>
      <c r="F12" s="41"/>
      <c r="G12" s="41"/>
      <c r="H12" s="37">
        <f t="shared" si="0"/>
        <v>626.54</v>
      </c>
      <c r="I12" s="12">
        <v>1</v>
      </c>
      <c r="J12" s="13">
        <v>6570</v>
      </c>
      <c r="K12" s="32">
        <f>-H23+H51+H58</f>
        <v>401.03</v>
      </c>
      <c r="M12" s="5" t="s">
        <v>25</v>
      </c>
      <c r="P12" s="5">
        <v>1</v>
      </c>
      <c r="Q12" s="13">
        <v>6570</v>
      </c>
      <c r="R12" s="33">
        <f>+K12*R6</f>
        <v>481.23599999999993</v>
      </c>
      <c r="S12" s="32"/>
    </row>
    <row r="13" spans="1:19" x14ac:dyDescent="0.25">
      <c r="A13" s="34" t="s">
        <v>26</v>
      </c>
      <c r="B13" s="42">
        <v>3316.03</v>
      </c>
      <c r="C13" s="27">
        <f t="shared" si="1"/>
        <v>0</v>
      </c>
      <c r="D13" s="4">
        <v>2110</v>
      </c>
      <c r="F13" s="41"/>
      <c r="G13" s="41"/>
      <c r="H13" s="37">
        <f t="shared" si="0"/>
        <v>3316.03</v>
      </c>
      <c r="I13" s="12">
        <v>1</v>
      </c>
      <c r="J13" s="13">
        <v>6571</v>
      </c>
      <c r="K13" s="32">
        <f>ROUND(H55,2)</f>
        <v>939.91</v>
      </c>
      <c r="M13" s="43" t="s">
        <v>27</v>
      </c>
      <c r="P13" s="5">
        <v>1</v>
      </c>
      <c r="Q13" s="13">
        <v>6571</v>
      </c>
      <c r="R13" s="33">
        <f>+K13*$R$6</f>
        <v>1127.8919999999998</v>
      </c>
      <c r="S13" s="32"/>
    </row>
    <row r="14" spans="1:19" x14ac:dyDescent="0.25">
      <c r="A14" s="34" t="s">
        <v>28</v>
      </c>
      <c r="B14" s="42">
        <v>1809.71</v>
      </c>
      <c r="C14" s="27">
        <f t="shared" si="1"/>
        <v>0</v>
      </c>
      <c r="D14" s="4">
        <v>2120</v>
      </c>
      <c r="F14" s="41"/>
      <c r="G14" s="41"/>
      <c r="H14" s="37">
        <f t="shared" si="0"/>
        <v>1809.71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25.2</v>
      </c>
      <c r="C15" s="27">
        <f t="shared" si="1"/>
        <v>0</v>
      </c>
      <c r="D15" s="4">
        <v>6580</v>
      </c>
      <c r="F15" s="44">
        <v>1.2</v>
      </c>
      <c r="G15" s="44">
        <v>7.2</v>
      </c>
      <c r="H15" s="37">
        <f t="shared" si="0"/>
        <v>16.8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>
        <f>SUM(R61:R66)</f>
        <v>1222.3</v>
      </c>
    </row>
    <row r="16" spans="1:19" ht="18.75" thickBot="1" x14ac:dyDescent="0.3">
      <c r="A16" s="34" t="s">
        <v>33</v>
      </c>
      <c r="B16" s="51">
        <v>69.069999999999993</v>
      </c>
      <c r="C16" s="27">
        <f t="shared" si="1"/>
        <v>0</v>
      </c>
      <c r="D16" s="7">
        <v>2120</v>
      </c>
      <c r="F16" s="44">
        <v>3.77</v>
      </c>
      <c r="G16" s="44">
        <v>20.100000000000001</v>
      </c>
      <c r="H16" s="37">
        <f t="shared" si="0"/>
        <v>45.199999999999996</v>
      </c>
      <c r="I16" s="52">
        <v>1</v>
      </c>
      <c r="J16" s="10">
        <v>2120</v>
      </c>
      <c r="K16" s="21">
        <f>-H16</f>
        <v>-45.199999999999996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-54.239999999999995</v>
      </c>
      <c r="S16" s="32"/>
    </row>
    <row r="17" spans="1:26" x14ac:dyDescent="0.25">
      <c r="A17" s="34" t="s">
        <v>35</v>
      </c>
      <c r="B17" s="53">
        <v>24</v>
      </c>
      <c r="C17" s="27">
        <f t="shared" si="1"/>
        <v>0</v>
      </c>
      <c r="D17" s="54">
        <v>1830</v>
      </c>
      <c r="F17" s="41"/>
      <c r="G17" s="55"/>
      <c r="H17" s="37">
        <f t="shared" si="0"/>
        <v>24</v>
      </c>
      <c r="I17" s="12">
        <v>1</v>
      </c>
      <c r="J17" s="13">
        <v>1830</v>
      </c>
      <c r="K17" s="56">
        <f>ROUND(-H20-H27-H17-H18-H21-H26-H28,2)</f>
        <v>-934.68</v>
      </c>
      <c r="M17" s="5" t="s">
        <v>36</v>
      </c>
      <c r="P17" s="5">
        <v>1</v>
      </c>
      <c r="Q17" s="13">
        <v>1830</v>
      </c>
      <c r="R17" s="33">
        <f>+K17*$R$6</f>
        <v>-1121.616</v>
      </c>
      <c r="S17" s="32"/>
    </row>
    <row r="18" spans="1:26" x14ac:dyDescent="0.25">
      <c r="A18" s="34" t="s">
        <v>37</v>
      </c>
      <c r="B18" s="57">
        <v>87.96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28.079999999999991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57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293.60000000000002</v>
      </c>
      <c r="M19" s="5" t="s">
        <v>40</v>
      </c>
      <c r="P19" s="5">
        <v>1</v>
      </c>
      <c r="Q19" s="13">
        <v>6300</v>
      </c>
      <c r="R19" s="33">
        <f>+K19*$R$6</f>
        <v>352.32</v>
      </c>
      <c r="S19" s="32"/>
    </row>
    <row r="20" spans="1:26" x14ac:dyDescent="0.25">
      <c r="A20" s="34" t="s">
        <v>41</v>
      </c>
      <c r="B20" s="57">
        <v>1511.76</v>
      </c>
      <c r="C20" s="27">
        <f t="shared" si="1"/>
        <v>0</v>
      </c>
      <c r="D20" s="4">
        <v>1830</v>
      </c>
      <c r="F20" s="41"/>
      <c r="G20" s="44">
        <v>809.87</v>
      </c>
      <c r="H20" s="37">
        <f t="shared" si="0"/>
        <v>701.89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57">
        <v>174.96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48.960000000000008</v>
      </c>
      <c r="I21" s="12">
        <v>1</v>
      </c>
      <c r="J21" s="13">
        <v>6630</v>
      </c>
      <c r="K21" s="32">
        <f>-H29</f>
        <v>10.75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57"/>
      <c r="C22" s="27">
        <f t="shared" si="1"/>
        <v>0</v>
      </c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57">
        <v>2045.77</v>
      </c>
      <c r="C23" s="27">
        <f t="shared" si="1"/>
        <v>0</v>
      </c>
      <c r="D23" s="4">
        <v>6570</v>
      </c>
      <c r="F23" s="44">
        <v>172.48</v>
      </c>
      <c r="G23" s="44">
        <v>620.54</v>
      </c>
      <c r="H23" s="37">
        <f t="shared" si="0"/>
        <v>1252.75</v>
      </c>
      <c r="I23" s="12"/>
      <c r="J23" s="13"/>
      <c r="K23" s="59">
        <f>SUM(K7:K22)</f>
        <v>26599.029999999992</v>
      </c>
      <c r="N23" s="1">
        <v>2040</v>
      </c>
      <c r="P23" s="5">
        <v>1</v>
      </c>
      <c r="Q23" s="13">
        <v>2040</v>
      </c>
      <c r="R23" s="60">
        <f>SUM(R7:R22)</f>
        <v>33128.235999999997</v>
      </c>
      <c r="S23" s="6"/>
    </row>
    <row r="24" spans="1:26" ht="18.75" thickTop="1" x14ac:dyDescent="0.25">
      <c r="A24" s="34" t="s">
        <v>48</v>
      </c>
      <c r="B24" s="57">
        <v>451.11</v>
      </c>
      <c r="C24" s="27">
        <f t="shared" si="1"/>
        <v>0</v>
      </c>
      <c r="F24" s="41"/>
      <c r="G24" s="44">
        <v>123.58</v>
      </c>
      <c r="H24" s="37">
        <f t="shared" si="0"/>
        <v>327.53000000000003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57">
        <v>345</v>
      </c>
      <c r="C25" s="27">
        <f t="shared" si="1"/>
        <v>0</v>
      </c>
      <c r="F25" s="44">
        <v>101.92</v>
      </c>
      <c r="G25" s="44"/>
      <c r="H25" s="37">
        <f t="shared" si="0"/>
        <v>243.07999999999998</v>
      </c>
      <c r="I25" s="61">
        <v>2</v>
      </c>
      <c r="J25" s="62"/>
      <c r="K25" s="32"/>
      <c r="Q25" s="62"/>
      <c r="R25" s="33"/>
    </row>
    <row r="26" spans="1:26" x14ac:dyDescent="0.25">
      <c r="A26" s="34" t="s">
        <v>50</v>
      </c>
      <c r="B26" s="57">
        <v>63.17</v>
      </c>
      <c r="C26" s="27">
        <f t="shared" si="1"/>
        <v>0</v>
      </c>
      <c r="D26" s="54">
        <v>1830</v>
      </c>
      <c r="F26" s="41"/>
      <c r="G26" s="55"/>
      <c r="H26" s="37">
        <f t="shared" si="0"/>
        <v>63.17</v>
      </c>
      <c r="I26" s="12">
        <v>2</v>
      </c>
      <c r="J26" s="13">
        <v>6500</v>
      </c>
      <c r="K26" s="32">
        <f>G7</f>
        <v>17530.34</v>
      </c>
      <c r="M26" s="5" t="s">
        <v>51</v>
      </c>
      <c r="O26" s="32"/>
      <c r="P26" s="5">
        <v>2</v>
      </c>
      <c r="Q26" s="13">
        <v>6500</v>
      </c>
      <c r="R26" s="33">
        <f>+K26*R6</f>
        <v>21036.407999999999</v>
      </c>
      <c r="S26" s="32"/>
      <c r="X26" s="32"/>
    </row>
    <row r="27" spans="1:26" x14ac:dyDescent="0.25">
      <c r="A27" s="34" t="s">
        <v>52</v>
      </c>
      <c r="B27" s="57"/>
      <c r="C27" s="63">
        <f t="shared" si="1"/>
        <v>0</v>
      </c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64">
        <v>86.95</v>
      </c>
      <c r="C28" s="27">
        <f t="shared" si="1"/>
        <v>0</v>
      </c>
      <c r="D28" s="54">
        <v>1830</v>
      </c>
      <c r="F28" s="44"/>
      <c r="G28" s="44">
        <v>18.37</v>
      </c>
      <c r="H28" s="37">
        <f t="shared" si="0"/>
        <v>68.58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57"/>
      <c r="C29" s="65">
        <f t="shared" si="1"/>
        <v>0</v>
      </c>
      <c r="D29" s="54">
        <v>6630</v>
      </c>
      <c r="F29" s="66"/>
      <c r="G29" s="67">
        <v>10.75</v>
      </c>
      <c r="H29" s="37">
        <f t="shared" si="0"/>
        <v>-10.75</v>
      </c>
      <c r="I29" s="12">
        <v>2</v>
      </c>
      <c r="J29" s="13">
        <v>6580</v>
      </c>
      <c r="K29" s="32">
        <f>ROUND($G$42+$G$43+$G$44+$G$45-$G$15+$G$46,2)</f>
        <v>932.66</v>
      </c>
      <c r="M29" s="39" t="s">
        <v>21</v>
      </c>
      <c r="P29" s="5">
        <v>2</v>
      </c>
      <c r="Q29" s="13">
        <v>6580</v>
      </c>
      <c r="R29" s="33">
        <f>+K29*R6</f>
        <v>1119.192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200.52</v>
      </c>
      <c r="M31" s="5" t="s">
        <v>25</v>
      </c>
      <c r="P31" s="5">
        <v>2</v>
      </c>
      <c r="Q31" s="13">
        <v>6570</v>
      </c>
      <c r="R31" s="33">
        <f>+K31*$R$6</f>
        <v>240.624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</f>
        <v>33341.650000000009</v>
      </c>
      <c r="C32" s="72">
        <f>B32-F32-G32-H32</f>
        <v>0</v>
      </c>
      <c r="D32" s="71"/>
      <c r="E32" s="71"/>
      <c r="F32" s="71">
        <f t="shared" ref="F32:H32" si="2">F7+F8+F10-F11-F12-F13-F14-F15-F16-F19-F29-F20-F26-F25-F28-F17-F21-F18-F23-F22-F24+F30+F31</f>
        <v>3646.36</v>
      </c>
      <c r="G32" s="71">
        <f t="shared" si="2"/>
        <v>16862.55</v>
      </c>
      <c r="H32" s="71">
        <f t="shared" si="2"/>
        <v>12832.74</v>
      </c>
      <c r="I32" s="12">
        <v>2</v>
      </c>
      <c r="J32" s="13">
        <v>6571</v>
      </c>
      <c r="K32" s="32">
        <f>G55</f>
        <v>369.65</v>
      </c>
      <c r="M32" s="43" t="s">
        <v>27</v>
      </c>
      <c r="P32" s="5">
        <v>2</v>
      </c>
      <c r="Q32" s="13">
        <v>6571</v>
      </c>
      <c r="R32" s="33">
        <f>+K32*$R$6</f>
        <v>443.58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>
        <f>SUM(R75:R81)</f>
        <v>1792.7</v>
      </c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-20.100000000000001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-24.12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-1024.8699999999999</v>
      </c>
      <c r="M36" s="5" t="s">
        <v>36</v>
      </c>
      <c r="O36" s="1"/>
      <c r="P36" s="5">
        <v>2</v>
      </c>
      <c r="Q36" s="13">
        <v>1830</v>
      </c>
      <c r="R36" s="33">
        <f>+K36*$R$6</f>
        <v>-1229.8439999999998</v>
      </c>
      <c r="S36" s="32"/>
    </row>
    <row r="37" spans="1:22" x14ac:dyDescent="0.25">
      <c r="A37" s="25" t="s">
        <v>66</v>
      </c>
      <c r="B37" s="80">
        <f>B11</f>
        <v>2678.93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2678.93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626.54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626.54</v>
      </c>
      <c r="I38" s="12">
        <v>2</v>
      </c>
      <c r="J38" s="13">
        <v>6300</v>
      </c>
      <c r="K38" s="84">
        <f>ROUND(G70,2)</f>
        <v>146.80000000000001</v>
      </c>
      <c r="M38" s="5" t="s">
        <v>40</v>
      </c>
      <c r="O38" s="1"/>
      <c r="P38" s="5">
        <v>2</v>
      </c>
      <c r="Q38" s="13">
        <v>6300</v>
      </c>
      <c r="R38" s="33">
        <f>+K38*$R$6</f>
        <v>176.16</v>
      </c>
      <c r="S38" s="32"/>
    </row>
    <row r="39" spans="1:22" x14ac:dyDescent="0.25">
      <c r="A39" s="34" t="s">
        <v>68</v>
      </c>
      <c r="B39" s="83">
        <f>B13</f>
        <v>3316.03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3316.03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1809.71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1809.71</v>
      </c>
      <c r="I40" s="85"/>
      <c r="J40" s="5">
        <v>2040</v>
      </c>
      <c r="K40" s="86">
        <f>SUM(K26:K39)</f>
        <v>18135.000000000004</v>
      </c>
      <c r="N40" s="1">
        <v>2040</v>
      </c>
      <c r="O40" s="1"/>
      <c r="P40" s="5">
        <v>2</v>
      </c>
      <c r="Q40" s="5">
        <v>2040</v>
      </c>
      <c r="R40" s="86">
        <f>SUM(R26:R39)</f>
        <v>23554.7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2678.92</v>
      </c>
      <c r="C42" s="27">
        <f>B42-F42-G42-H42</f>
        <v>0</v>
      </c>
      <c r="D42" s="4">
        <v>6580</v>
      </c>
      <c r="F42" s="90">
        <v>146.44999999999999</v>
      </c>
      <c r="G42" s="90">
        <v>761.71</v>
      </c>
      <c r="H42" s="37">
        <f>B42-F42-G42</f>
        <v>1770.7600000000002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626.54999999999995</v>
      </c>
      <c r="C43" s="27">
        <f>B43-F43-G43-H43</f>
        <v>0</v>
      </c>
      <c r="D43" s="4">
        <v>6580</v>
      </c>
      <c r="F43" s="90">
        <v>34.25</v>
      </c>
      <c r="G43" s="90">
        <v>178.15</v>
      </c>
      <c r="H43" s="37">
        <f>B43-F43-G43</f>
        <v>414.15</v>
      </c>
      <c r="I43" s="12">
        <v>3</v>
      </c>
      <c r="J43" s="13">
        <v>6500</v>
      </c>
      <c r="K43" s="92">
        <f>F7</f>
        <v>3925.73</v>
      </c>
      <c r="M43" s="5" t="s">
        <v>71</v>
      </c>
      <c r="O43" s="1"/>
      <c r="P43" s="5">
        <v>3</v>
      </c>
      <c r="Q43" s="13">
        <v>6500</v>
      </c>
      <c r="R43" s="33">
        <f>+K43*$R$6</f>
        <v>4710.8760000000002</v>
      </c>
      <c r="S43" s="32"/>
    </row>
    <row r="44" spans="1:22" x14ac:dyDescent="0.25">
      <c r="A44" s="34" t="s">
        <v>72</v>
      </c>
      <c r="B44" s="89">
        <v>12.92</v>
      </c>
      <c r="C44" s="27">
        <f>B44-F44-G44-H44</f>
        <v>0</v>
      </c>
      <c r="D44" s="4">
        <v>6580</v>
      </c>
      <c r="F44" s="90"/>
      <c r="G44" s="91"/>
      <c r="H44" s="37">
        <f>B44-G44-F44</f>
        <v>12.92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54.12</v>
      </c>
      <c r="C45" s="27">
        <f>B45-F45-G45-H45</f>
        <v>0</v>
      </c>
      <c r="D45" s="4">
        <v>6580</v>
      </c>
      <c r="F45" s="90"/>
      <c r="G45" s="94"/>
      <c r="H45" s="37">
        <f>B45-G45-F45</f>
        <v>54.12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2.36</v>
      </c>
      <c r="C46" s="27">
        <f>B46-F46-G46-H46</f>
        <v>0</v>
      </c>
      <c r="F46" s="96"/>
      <c r="G46" s="96"/>
      <c r="H46" s="37">
        <f>B46-G46-F46</f>
        <v>2.36</v>
      </c>
      <c r="I46" s="12">
        <v>3</v>
      </c>
      <c r="J46" s="13">
        <v>6580</v>
      </c>
      <c r="K46" s="32">
        <f>ROUND($F$42+$F$43+$F$44+$F$45-$F$15+$F$46,2)</f>
        <v>179.5</v>
      </c>
      <c r="M46" s="39" t="s">
        <v>21</v>
      </c>
      <c r="O46" s="1"/>
      <c r="P46" s="5">
        <v>3</v>
      </c>
      <c r="Q46" s="13">
        <v>6580</v>
      </c>
      <c r="R46" s="33">
        <f>+K46*$R$6</f>
        <v>215.4</v>
      </c>
      <c r="S46" s="32"/>
    </row>
    <row r="47" spans="1:22" ht="18.75" thickBot="1" x14ac:dyDescent="0.3">
      <c r="B47" s="97">
        <f>SUM(B42:B46)</f>
        <v>3374.8700000000003</v>
      </c>
      <c r="C47" s="27">
        <f>B48-F47-G47-H47</f>
        <v>0</v>
      </c>
      <c r="D47" s="7"/>
      <c r="E47" s="1"/>
      <c r="F47" s="97">
        <f>SUM(F37:F46)</f>
        <v>180.7</v>
      </c>
      <c r="G47" s="97">
        <f>SUM(G37:G46)</f>
        <v>939.86</v>
      </c>
      <c r="H47" s="71">
        <f>SUM(H37:H46)</f>
        <v>10685.52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11806.08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48.93</v>
      </c>
      <c r="M48" s="5" t="s">
        <v>40</v>
      </c>
      <c r="O48" s="1"/>
      <c r="P48" s="5">
        <v>3</v>
      </c>
      <c r="Q48" s="13">
        <v>6300</v>
      </c>
      <c r="R48" s="33">
        <f>+K48*$R$6</f>
        <v>58.715999999999994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-3.77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-4.524</v>
      </c>
      <c r="S50" s="32"/>
    </row>
    <row r="51" spans="1:23" x14ac:dyDescent="0.25">
      <c r="A51" s="25" t="s">
        <v>78</v>
      </c>
      <c r="B51" s="80">
        <f>B23</f>
        <v>2045.77</v>
      </c>
      <c r="C51" s="106"/>
      <c r="D51" s="28">
        <v>6570</v>
      </c>
      <c r="E51" s="29"/>
      <c r="F51" s="81">
        <f>F23</f>
        <v>172.48</v>
      </c>
      <c r="G51" s="107">
        <f>G23</f>
        <v>620.54</v>
      </c>
      <c r="H51" s="31">
        <f>B51-G51-F51</f>
        <v>1252.75</v>
      </c>
      <c r="I51" s="12">
        <v>3</v>
      </c>
      <c r="J51" s="13">
        <v>1830</v>
      </c>
      <c r="K51" s="56">
        <f>-ROUND(F28,2)</f>
        <v>0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66.84</v>
      </c>
      <c r="M52" s="5" t="s">
        <v>25</v>
      </c>
      <c r="O52" s="1"/>
      <c r="P52" s="5">
        <v>3</v>
      </c>
      <c r="Q52" s="13">
        <v>6570</v>
      </c>
      <c r="R52" s="33">
        <f>+K52</f>
        <v>66.84</v>
      </c>
      <c r="S52" s="32"/>
    </row>
    <row r="53" spans="1:23" x14ac:dyDescent="0.25">
      <c r="A53" s="34" t="s">
        <v>60</v>
      </c>
      <c r="B53" s="108">
        <f>SUM(B51:B52)</f>
        <v>2045.77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1408.12</v>
      </c>
      <c r="C55" s="111"/>
      <c r="D55" s="4">
        <v>6571</v>
      </c>
      <c r="F55" s="90">
        <v>98.56</v>
      </c>
      <c r="G55" s="90">
        <v>369.65</v>
      </c>
      <c r="H55" s="37">
        <f>B55-F55-G55</f>
        <v>939.91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1435.18</v>
      </c>
      <c r="C56" s="111"/>
      <c r="D56" s="4">
        <v>6571</v>
      </c>
      <c r="F56" s="93"/>
      <c r="G56" s="93"/>
      <c r="H56" s="37">
        <f>B56-F56-G56</f>
        <v>1435.18</v>
      </c>
      <c r="I56" s="12"/>
      <c r="J56" s="13"/>
      <c r="K56" s="86">
        <f>SUM(K43:K55)</f>
        <v>4315.79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5145.8680000000004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668.39</v>
      </c>
      <c r="C58" s="111"/>
      <c r="D58" s="4">
        <v>6570</v>
      </c>
      <c r="F58" s="88">
        <f>ROUND(B58*10%,2)</f>
        <v>66.84</v>
      </c>
      <c r="G58" s="88">
        <f>ROUND(B58*30%,2)</f>
        <v>200.52</v>
      </c>
      <c r="H58" s="37">
        <f>ROUND(B58-F58-G58,2)</f>
        <v>401.03</v>
      </c>
      <c r="I58" s="52">
        <v>1</v>
      </c>
      <c r="J58" s="10">
        <v>1012</v>
      </c>
      <c r="K58" s="113">
        <f>-(K23+K40+K56+K74+K84+K90)-K59</f>
        <v>-50555.45</v>
      </c>
      <c r="M58" s="1"/>
      <c r="N58" s="32">
        <f>+'[7]1012-CNB Checking'!$F$49</f>
        <v>50555.45</v>
      </c>
      <c r="O58" s="114">
        <f>+K58+N58</f>
        <v>0</v>
      </c>
      <c r="P58" s="32"/>
      <c r="R58" s="33"/>
    </row>
    <row r="59" spans="1:23" ht="18.75" thickTop="1" x14ac:dyDescent="0.25">
      <c r="A59" s="34" t="s">
        <v>48</v>
      </c>
      <c r="B59" s="83">
        <f>B24</f>
        <v>451.11</v>
      </c>
      <c r="C59" s="27"/>
      <c r="F59" s="88">
        <f>F24</f>
        <v>0</v>
      </c>
      <c r="G59" s="88">
        <f>G24</f>
        <v>123.58</v>
      </c>
      <c r="H59" s="37">
        <f>B59-F59-G59</f>
        <v>327.53000000000003</v>
      </c>
      <c r="I59" s="52">
        <v>1</v>
      </c>
      <c r="J59" s="10"/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345</v>
      </c>
      <c r="C60" s="27"/>
      <c r="F60" s="88">
        <f>F25</f>
        <v>101.92</v>
      </c>
      <c r="G60" s="88">
        <f>G25</f>
        <v>0</v>
      </c>
      <c r="H60" s="37">
        <f>B60-F60-G60</f>
        <v>243.07999999999998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4918.3900000000003</v>
      </c>
      <c r="C61" s="117"/>
      <c r="D61" s="7"/>
      <c r="E61" s="1"/>
      <c r="F61" s="71">
        <f>F51+F55</f>
        <v>271.03999999999996</v>
      </c>
      <c r="G61" s="71">
        <f>G51+G55</f>
        <v>990.18999999999994</v>
      </c>
      <c r="H61" s="118">
        <f>B61-G61</f>
        <v>3928.2000000000003</v>
      </c>
      <c r="I61" s="115">
        <v>1</v>
      </c>
      <c r="J61" s="119">
        <v>1831</v>
      </c>
      <c r="K61" s="120"/>
      <c r="M61" s="5" t="s">
        <v>42</v>
      </c>
      <c r="O61" s="121"/>
      <c r="P61" s="115">
        <v>1</v>
      </c>
      <c r="Q61" s="119">
        <v>1831</v>
      </c>
      <c r="R61" s="163">
        <v>170</v>
      </c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>
        <f>1058.52-1020.12</f>
        <v>38.399999999999977</v>
      </c>
      <c r="M62" s="5" t="s">
        <v>132</v>
      </c>
      <c r="O62" s="1"/>
      <c r="P62" s="115">
        <v>1</v>
      </c>
      <c r="Q62" s="5">
        <v>6565</v>
      </c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85">
        <v>1</v>
      </c>
      <c r="Q63" s="5">
        <v>1831</v>
      </c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>
        <v>1</v>
      </c>
      <c r="Q64" s="5">
        <v>6630</v>
      </c>
      <c r="R64" s="163">
        <f>34.62-11.54</f>
        <v>23.08</v>
      </c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>
        <f>34.62-11.54</f>
        <v>23.08</v>
      </c>
      <c r="M65" s="5" t="s">
        <v>90</v>
      </c>
      <c r="O65" s="1"/>
      <c r="P65" s="85">
        <v>1</v>
      </c>
      <c r="Q65" s="5">
        <v>6630</v>
      </c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412.49-96.84</f>
        <v>315.64999999999998</v>
      </c>
      <c r="M66" s="5" t="s">
        <v>133</v>
      </c>
      <c r="O66" s="1"/>
      <c r="P66" s="85">
        <v>1</v>
      </c>
      <c r="Q66" s="5">
        <v>6551</v>
      </c>
      <c r="R66" s="163">
        <f>2705.17-1675.95</f>
        <v>1029.22</v>
      </c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>
        <v>1</v>
      </c>
      <c r="Q67" s="5">
        <v>6012</v>
      </c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>
        <f>487.64+1.69</f>
        <v>489.33</v>
      </c>
      <c r="C70" s="106"/>
      <c r="D70" s="28">
        <v>6300</v>
      </c>
      <c r="E70" s="29"/>
      <c r="F70" s="81">
        <f>B70*F69</f>
        <v>48.933</v>
      </c>
      <c r="G70" s="107">
        <f>B70*G69</f>
        <v>146.79899999999998</v>
      </c>
      <c r="H70" s="31">
        <f>B70*H69-0</f>
        <v>293.59799999999996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48.933</v>
      </c>
      <c r="G71" s="71">
        <f>G70</f>
        <v>146.79899999999998</v>
      </c>
      <c r="H71" s="118">
        <f>H70</f>
        <v>293.59799999999996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50066.12</v>
      </c>
      <c r="F74" s="6"/>
      <c r="I74" s="85" t="s">
        <v>97</v>
      </c>
      <c r="K74" s="129">
        <f>SUM(K61:K73)</f>
        <v>377.12999999999994</v>
      </c>
      <c r="O74" s="1"/>
      <c r="R74" s="162"/>
    </row>
    <row r="75" spans="1:20" ht="18.75" thickBot="1" x14ac:dyDescent="0.3">
      <c r="F75" s="6"/>
      <c r="I75" s="85">
        <v>2</v>
      </c>
      <c r="J75" s="167">
        <v>6565</v>
      </c>
      <c r="K75" s="120">
        <v>1020.12</v>
      </c>
      <c r="M75" s="5" t="s">
        <v>132</v>
      </c>
      <c r="O75" s="1"/>
      <c r="P75" s="85">
        <v>2</v>
      </c>
      <c r="Q75" s="119" t="s">
        <v>107</v>
      </c>
      <c r="R75" s="163">
        <v>105.21</v>
      </c>
      <c r="S75" s="32"/>
    </row>
    <row r="76" spans="1:20" x14ac:dyDescent="0.25">
      <c r="A76" s="129" t="s">
        <v>99</v>
      </c>
      <c r="B76" s="26">
        <v>31906.47</v>
      </c>
      <c r="C76" s="130"/>
      <c r="D76" s="131" t="s">
        <v>100</v>
      </c>
      <c r="E76" s="6"/>
      <c r="F76" s="6"/>
      <c r="G76" s="132">
        <v>31906.47</v>
      </c>
      <c r="H76" s="6"/>
      <c r="I76" s="85">
        <v>2</v>
      </c>
      <c r="J76" s="119">
        <v>1831</v>
      </c>
      <c r="K76" s="120"/>
      <c r="M76" s="5" t="s">
        <v>42</v>
      </c>
      <c r="O76" s="1"/>
      <c r="P76" s="85">
        <v>2</v>
      </c>
      <c r="Q76" s="119">
        <v>1831</v>
      </c>
      <c r="R76" s="163">
        <v>11.54</v>
      </c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>
        <v>2</v>
      </c>
      <c r="Q77" s="5">
        <v>6630</v>
      </c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85">
        <v>2</v>
      </c>
      <c r="Q78" s="5">
        <v>6630</v>
      </c>
      <c r="R78" s="163"/>
      <c r="S78" s="32"/>
    </row>
    <row r="79" spans="1:20" ht="18.75" thickBot="1" x14ac:dyDescent="0.3">
      <c r="A79" s="134" t="s">
        <v>104</v>
      </c>
      <c r="B79" s="135">
        <f>ROUND(SUM(B76:B78),2)</f>
        <v>31906.47</v>
      </c>
      <c r="C79" s="130"/>
      <c r="D79" s="131"/>
      <c r="E79" s="6"/>
      <c r="F79" s="6"/>
      <c r="G79" s="129">
        <f>SUM(G76:G78)</f>
        <v>31906.47</v>
      </c>
      <c r="H79" s="6" t="s">
        <v>105</v>
      </c>
      <c r="I79" s="85">
        <v>2</v>
      </c>
      <c r="J79" s="5">
        <v>6551</v>
      </c>
      <c r="K79" s="120">
        <v>96.84</v>
      </c>
      <c r="M79" s="5" t="s">
        <v>91</v>
      </c>
      <c r="O79" s="1"/>
      <c r="P79" s="85">
        <v>2</v>
      </c>
      <c r="Q79" s="5">
        <v>6551</v>
      </c>
      <c r="R79" s="163">
        <v>1675.95</v>
      </c>
      <c r="S79" s="32"/>
    </row>
    <row r="80" spans="1:20" ht="18.75" thickBot="1" x14ac:dyDescent="0.3">
      <c r="A80" s="1" t="s">
        <v>106</v>
      </c>
      <c r="B80" s="26">
        <v>50066.12</v>
      </c>
      <c r="H80" s="128" t="str">
        <f>IF(B79-G79=0,"ok","NO")</f>
        <v>ok</v>
      </c>
      <c r="I80" s="85">
        <v>2</v>
      </c>
      <c r="J80" s="5">
        <v>6040</v>
      </c>
      <c r="K80" s="120"/>
      <c r="M80" s="5" t="s">
        <v>131</v>
      </c>
      <c r="O80" s="1"/>
      <c r="P80" s="85">
        <v>2</v>
      </c>
      <c r="Q80" s="5">
        <v>6040</v>
      </c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162"/>
      <c r="S81" s="32"/>
    </row>
    <row r="82" spans="1:19" ht="18.75" thickBot="1" x14ac:dyDescent="0.3">
      <c r="B82" s="3">
        <f>+B80+B81</f>
        <v>50066.12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1128.5</v>
      </c>
      <c r="O84" s="1"/>
      <c r="P84" s="5">
        <v>3</v>
      </c>
      <c r="Q84" s="5">
        <v>6551</v>
      </c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164"/>
      <c r="S85" s="32"/>
    </row>
    <row r="86" spans="1:19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132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1505.6299999999999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7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78B1-4085-4814-A9E6-B4308B4C3393}">
  <sheetPr>
    <tabColor rgb="FF00B050"/>
    <pageSetUpPr fitToPage="1"/>
  </sheetPr>
  <dimension ref="A2:Z99"/>
  <sheetViews>
    <sheetView zoomScale="70" zoomScaleNormal="70" zoomScalePageLayoutView="70" workbookViewId="0">
      <selection activeCell="B25" sqref="B25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4.2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customWidth="1"/>
    <col min="17" max="17" width="15.25" style="5" customWidth="1"/>
    <col min="18" max="18" width="18.125" style="5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43644</v>
      </c>
      <c r="K2" s="9"/>
      <c r="M2" s="5" t="s">
        <v>1</v>
      </c>
    </row>
    <row r="3" spans="1:19" x14ac:dyDescent="0.25">
      <c r="A3" s="10" t="s">
        <v>2</v>
      </c>
      <c r="B3" s="8">
        <v>43637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0.5</v>
      </c>
    </row>
    <row r="7" spans="1:19" x14ac:dyDescent="0.25">
      <c r="A7" s="25" t="s">
        <v>14</v>
      </c>
      <c r="B7" s="26">
        <v>44929.45</v>
      </c>
      <c r="C7" s="27">
        <f>B7-F7-G7-H7</f>
        <v>0</v>
      </c>
      <c r="D7" s="28">
        <v>6500</v>
      </c>
      <c r="E7" s="29">
        <v>3882.1</v>
      </c>
      <c r="F7" s="30">
        <v>3882.1</v>
      </c>
      <c r="G7" s="30">
        <v>17438.490000000002</v>
      </c>
      <c r="H7" s="31">
        <f t="shared" ref="H7:H31" si="0">B7-F7-G7</f>
        <v>23608.859999999997</v>
      </c>
      <c r="I7" s="12">
        <v>1</v>
      </c>
      <c r="J7" s="13">
        <v>6500</v>
      </c>
      <c r="K7" s="32">
        <f>H7</f>
        <v>23608.859999999997</v>
      </c>
      <c r="M7" s="5" t="s">
        <v>15</v>
      </c>
      <c r="P7" s="5">
        <v>1</v>
      </c>
      <c r="Q7" s="13">
        <v>6500</v>
      </c>
      <c r="R7" s="33">
        <f>+K7*$R$6</f>
        <v>11804.429999999998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2301.61</v>
      </c>
      <c r="C10" s="27"/>
      <c r="D10" s="4">
        <v>6040</v>
      </c>
      <c r="F10" s="35"/>
      <c r="G10" s="35">
        <v>1436.52</v>
      </c>
      <c r="H10" s="37">
        <f t="shared" si="0"/>
        <v>865.09000000000015</v>
      </c>
      <c r="I10" s="12">
        <v>1</v>
      </c>
      <c r="J10" s="13">
        <v>6580</v>
      </c>
      <c r="K10" s="32">
        <f>ROUND($H$42+$H$43+$H$44+$H$45-$H$15+$H$46,2)</f>
        <v>2814.49</v>
      </c>
      <c r="M10" s="39" t="s">
        <v>21</v>
      </c>
      <c r="P10" s="5">
        <v>1</v>
      </c>
      <c r="Q10" s="13">
        <v>6580</v>
      </c>
      <c r="R10" s="33">
        <f>+K10*$R$6</f>
        <v>1407.2449999999999</v>
      </c>
      <c r="S10" s="32"/>
    </row>
    <row r="11" spans="1:19" x14ac:dyDescent="0.25">
      <c r="A11" s="34" t="s">
        <v>22</v>
      </c>
      <c r="B11" s="40">
        <v>2665.09</v>
      </c>
      <c r="C11" s="27">
        <f t="shared" ref="C11:C30" si="1">B11-F11-G11-H11</f>
        <v>0</v>
      </c>
      <c r="D11" s="4">
        <v>2100</v>
      </c>
      <c r="F11" s="41"/>
      <c r="G11" s="41"/>
      <c r="H11" s="37">
        <f t="shared" si="0"/>
        <v>2665.09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623.29</v>
      </c>
      <c r="C12" s="27">
        <f t="shared" si="1"/>
        <v>0</v>
      </c>
      <c r="D12" s="4">
        <v>2100</v>
      </c>
      <c r="F12" s="41"/>
      <c r="G12" s="41"/>
      <c r="H12" s="37">
        <f t="shared" si="0"/>
        <v>623.29</v>
      </c>
      <c r="I12" s="12">
        <v>1</v>
      </c>
      <c r="J12" s="13">
        <v>6570</v>
      </c>
      <c r="K12" s="32">
        <f>-H23+H51+H58</f>
        <v>392.06</v>
      </c>
      <c r="M12" s="5" t="s">
        <v>25</v>
      </c>
      <c r="P12" s="5">
        <v>1</v>
      </c>
      <c r="Q12" s="13">
        <v>6570</v>
      </c>
      <c r="R12" s="33">
        <f>+K12*R6</f>
        <v>196.03</v>
      </c>
      <c r="S12" s="32"/>
    </row>
    <row r="13" spans="1:19" x14ac:dyDescent="0.25">
      <c r="A13" s="34" t="s">
        <v>26</v>
      </c>
      <c r="B13" s="42">
        <v>3389.32</v>
      </c>
      <c r="C13" s="27">
        <f t="shared" si="1"/>
        <v>0</v>
      </c>
      <c r="D13" s="4">
        <v>2110</v>
      </c>
      <c r="F13" s="41"/>
      <c r="G13" s="41"/>
      <c r="H13" s="37">
        <f t="shared" si="0"/>
        <v>3389.32</v>
      </c>
      <c r="I13" s="12">
        <v>1</v>
      </c>
      <c r="J13" s="13">
        <v>6571</v>
      </c>
      <c r="K13" s="32">
        <f>ROUND(H55,2)</f>
        <v>829.14</v>
      </c>
      <c r="M13" s="43" t="s">
        <v>27</v>
      </c>
      <c r="P13" s="5">
        <v>1</v>
      </c>
      <c r="Q13" s="13">
        <v>6571</v>
      </c>
      <c r="R13" s="33">
        <f>+K13*$R$6</f>
        <v>414.57</v>
      </c>
      <c r="S13" s="32"/>
    </row>
    <row r="14" spans="1:19" x14ac:dyDescent="0.25">
      <c r="A14" s="34" t="s">
        <v>28</v>
      </c>
      <c r="B14" s="42">
        <v>1814.43</v>
      </c>
      <c r="C14" s="27">
        <f t="shared" si="1"/>
        <v>0</v>
      </c>
      <c r="D14" s="4">
        <v>2120</v>
      </c>
      <c r="F14" s="41"/>
      <c r="G14" s="41"/>
      <c r="H14" s="37">
        <f t="shared" si="0"/>
        <v>1814.43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25.2</v>
      </c>
      <c r="C15" s="27">
        <f t="shared" si="1"/>
        <v>0</v>
      </c>
      <c r="D15" s="4">
        <v>6580</v>
      </c>
      <c r="F15" s="44">
        <v>2.4</v>
      </c>
      <c r="G15" s="44">
        <v>7.2</v>
      </c>
      <c r="H15" s="37">
        <f t="shared" si="0"/>
        <v>15.600000000000001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>
        <f>SUM(R61:R66)</f>
        <v>0</v>
      </c>
    </row>
    <row r="16" spans="1:19" ht="18.75" thickBot="1" x14ac:dyDescent="0.3">
      <c r="A16" s="34" t="s">
        <v>33</v>
      </c>
      <c r="B16" s="51">
        <v>68.73</v>
      </c>
      <c r="C16" s="27">
        <f t="shared" si="1"/>
        <v>0</v>
      </c>
      <c r="D16" s="7">
        <v>2120</v>
      </c>
      <c r="F16" s="44">
        <v>7.54</v>
      </c>
      <c r="G16" s="44">
        <v>20.46</v>
      </c>
      <c r="H16" s="37">
        <f t="shared" si="0"/>
        <v>40.730000000000004</v>
      </c>
      <c r="I16" s="52">
        <v>1</v>
      </c>
      <c r="J16" s="10">
        <v>2120</v>
      </c>
      <c r="K16" s="21">
        <f>-H16</f>
        <v>-40.730000000000004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-20.365000000000002</v>
      </c>
      <c r="S16" s="32"/>
    </row>
    <row r="17" spans="1:26" x14ac:dyDescent="0.25">
      <c r="A17" s="34" t="s">
        <v>35</v>
      </c>
      <c r="B17" s="53">
        <v>24</v>
      </c>
      <c r="C17" s="27">
        <f t="shared" si="1"/>
        <v>0</v>
      </c>
      <c r="D17" s="54">
        <v>1830</v>
      </c>
      <c r="F17" s="41"/>
      <c r="G17" s="55"/>
      <c r="H17" s="37">
        <f t="shared" si="0"/>
        <v>24</v>
      </c>
      <c r="I17" s="12">
        <v>1</v>
      </c>
      <c r="J17" s="13">
        <v>1830</v>
      </c>
      <c r="K17" s="56">
        <f>ROUND(-H20-H27-H17-H18-H21-H26-H28,2)</f>
        <v>-924.04</v>
      </c>
      <c r="M17" s="5" t="s">
        <v>36</v>
      </c>
      <c r="P17" s="5">
        <v>1</v>
      </c>
      <c r="Q17" s="13">
        <v>1830</v>
      </c>
      <c r="R17" s="33">
        <f>+K17*$R$6</f>
        <v>-462.02</v>
      </c>
      <c r="S17" s="32"/>
    </row>
    <row r="18" spans="1:26" x14ac:dyDescent="0.25">
      <c r="A18" s="34" t="s">
        <v>37</v>
      </c>
      <c r="B18" s="57">
        <v>87.96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28.079999999999991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57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293.60000000000002</v>
      </c>
      <c r="M19" s="5" t="s">
        <v>40</v>
      </c>
      <c r="P19" s="5">
        <v>1</v>
      </c>
      <c r="Q19" s="13">
        <v>6300</v>
      </c>
      <c r="R19" s="33">
        <f>+K19*$R$6</f>
        <v>146.80000000000001</v>
      </c>
      <c r="S19" s="32"/>
    </row>
    <row r="20" spans="1:26" x14ac:dyDescent="0.25">
      <c r="A20" s="34" t="s">
        <v>41</v>
      </c>
      <c r="B20" s="57">
        <v>1511.76</v>
      </c>
      <c r="C20" s="27">
        <f t="shared" si="1"/>
        <v>0</v>
      </c>
      <c r="D20" s="4">
        <v>1830</v>
      </c>
      <c r="F20" s="41"/>
      <c r="G20" s="44">
        <v>809.76</v>
      </c>
      <c r="H20" s="37">
        <f t="shared" si="0"/>
        <v>702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57">
        <v>174.96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48.960000000000008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57"/>
      <c r="C22" s="27">
        <f t="shared" si="1"/>
        <v>0</v>
      </c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57">
        <v>2048.92</v>
      </c>
      <c r="C23" s="27">
        <f t="shared" si="1"/>
        <v>0</v>
      </c>
      <c r="D23" s="4">
        <v>6570</v>
      </c>
      <c r="F23" s="44">
        <v>172.48</v>
      </c>
      <c r="G23" s="44">
        <v>623.69000000000005</v>
      </c>
      <c r="H23" s="37">
        <f t="shared" si="0"/>
        <v>1252.75</v>
      </c>
      <c r="I23" s="12"/>
      <c r="J23" s="13"/>
      <c r="K23" s="59">
        <f>SUM(K7:K22)</f>
        <v>26973.379999999997</v>
      </c>
      <c r="N23" s="1">
        <v>2040</v>
      </c>
      <c r="P23" s="5">
        <v>1</v>
      </c>
      <c r="Q23" s="13">
        <v>2040</v>
      </c>
      <c r="R23" s="60">
        <f>SUM(R7:R22)</f>
        <v>13486.689999999999</v>
      </c>
      <c r="S23" s="6"/>
    </row>
    <row r="24" spans="1:26" ht="18.75" thickTop="1" x14ac:dyDescent="0.25">
      <c r="A24" s="34" t="s">
        <v>48</v>
      </c>
      <c r="B24" s="57">
        <v>451.11</v>
      </c>
      <c r="C24" s="27">
        <f t="shared" si="1"/>
        <v>0</v>
      </c>
      <c r="F24" s="41"/>
      <c r="G24" s="44">
        <v>123.58</v>
      </c>
      <c r="H24" s="37">
        <f t="shared" si="0"/>
        <v>327.53000000000003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57">
        <v>345</v>
      </c>
      <c r="C25" s="27">
        <f t="shared" si="1"/>
        <v>0</v>
      </c>
      <c r="F25" s="44">
        <v>101.92</v>
      </c>
      <c r="G25" s="44"/>
      <c r="H25" s="37">
        <f t="shared" si="0"/>
        <v>243.07999999999998</v>
      </c>
      <c r="I25" s="61">
        <v>2</v>
      </c>
      <c r="J25" s="62"/>
      <c r="K25" s="32"/>
      <c r="Q25" s="62"/>
      <c r="R25" s="33"/>
    </row>
    <row r="26" spans="1:26" x14ac:dyDescent="0.25">
      <c r="A26" s="34" t="s">
        <v>50</v>
      </c>
      <c r="B26" s="57">
        <v>63.17</v>
      </c>
      <c r="C26" s="27">
        <f t="shared" si="1"/>
        <v>0</v>
      </c>
      <c r="D26" s="54">
        <v>1830</v>
      </c>
      <c r="F26" s="41"/>
      <c r="G26" s="55"/>
      <c r="H26" s="37">
        <f t="shared" si="0"/>
        <v>63.17</v>
      </c>
      <c r="I26" s="12">
        <v>2</v>
      </c>
      <c r="J26" s="13">
        <v>6500</v>
      </c>
      <c r="K26" s="32">
        <f>G7</f>
        <v>17438.490000000002</v>
      </c>
      <c r="M26" s="5" t="s">
        <v>51</v>
      </c>
      <c r="O26" s="32"/>
      <c r="P26" s="5">
        <v>2</v>
      </c>
      <c r="Q26" s="13">
        <v>6500</v>
      </c>
      <c r="R26" s="33">
        <f>+K26*R6</f>
        <v>8719.2450000000008</v>
      </c>
      <c r="S26" s="32"/>
      <c r="X26" s="32"/>
    </row>
    <row r="27" spans="1:26" x14ac:dyDescent="0.25">
      <c r="A27" s="34" t="s">
        <v>52</v>
      </c>
      <c r="B27" s="57"/>
      <c r="C27" s="63">
        <f t="shared" si="1"/>
        <v>0</v>
      </c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64">
        <v>86.95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57.83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57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335.67</v>
      </c>
      <c r="M29" s="39" t="s">
        <v>21</v>
      </c>
      <c r="P29" s="5">
        <v>2</v>
      </c>
      <c r="Q29" s="13">
        <v>6580</v>
      </c>
      <c r="R29" s="33">
        <f>+K29*R6</f>
        <v>167.83500000000001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196.03</v>
      </c>
      <c r="M31" s="5" t="s">
        <v>25</v>
      </c>
      <c r="P31" s="5">
        <v>2</v>
      </c>
      <c r="Q31" s="13">
        <v>6570</v>
      </c>
      <c r="R31" s="33">
        <f>+K31*$R$6</f>
        <v>98.015000000000001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</f>
        <v>33851.170000000006</v>
      </c>
      <c r="C32" s="72">
        <f>B32-F32-G32-H32</f>
        <v>0</v>
      </c>
      <c r="D32" s="71"/>
      <c r="E32" s="71"/>
      <c r="F32" s="71">
        <f t="shared" ref="F32:H32" si="2">F7+F8+F10-F11-F12-F13-F14-F15-F16-F19-F29-F20-F26-F25-F28-F17-F21-F18-F23-F22-F24+F30+F31</f>
        <v>3587.0099999999998</v>
      </c>
      <c r="G32" s="71">
        <f t="shared" si="2"/>
        <v>17086.070000000003</v>
      </c>
      <c r="H32" s="71">
        <f t="shared" si="2"/>
        <v>13178.089999999997</v>
      </c>
      <c r="I32" s="12">
        <v>2</v>
      </c>
      <c r="J32" s="13">
        <v>6571</v>
      </c>
      <c r="K32" s="32">
        <f>G55</f>
        <v>371.22</v>
      </c>
      <c r="M32" s="43" t="s">
        <v>27</v>
      </c>
      <c r="P32" s="5">
        <v>2</v>
      </c>
      <c r="Q32" s="13">
        <v>6571</v>
      </c>
      <c r="R32" s="33">
        <f>+K32*$R$6</f>
        <v>185.61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>
        <f>SUM(R75:R81)</f>
        <v>0</v>
      </c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-20.46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-10.23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-1014.01</v>
      </c>
      <c r="M36" s="5" t="s">
        <v>36</v>
      </c>
      <c r="O36" s="1"/>
      <c r="P36" s="5">
        <v>2</v>
      </c>
      <c r="Q36" s="13">
        <v>1830</v>
      </c>
      <c r="R36" s="33">
        <f>+K36*$R$6</f>
        <v>-507.005</v>
      </c>
      <c r="S36" s="32"/>
    </row>
    <row r="37" spans="1:22" x14ac:dyDescent="0.25">
      <c r="A37" s="25" t="s">
        <v>66</v>
      </c>
      <c r="B37" s="80">
        <f>B11</f>
        <v>2665.09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2665.09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623.29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623.29</v>
      </c>
      <c r="I38" s="12">
        <v>2</v>
      </c>
      <c r="J38" s="13">
        <v>6300</v>
      </c>
      <c r="K38" s="84">
        <f>ROUND(G70,2)</f>
        <v>146.80000000000001</v>
      </c>
      <c r="M38" s="5" t="s">
        <v>40</v>
      </c>
      <c r="O38" s="1"/>
      <c r="P38" s="5">
        <v>2</v>
      </c>
      <c r="Q38" s="13">
        <v>6300</v>
      </c>
      <c r="R38" s="33">
        <f>+K38*$R$6</f>
        <v>73.400000000000006</v>
      </c>
      <c r="S38" s="32"/>
    </row>
    <row r="39" spans="1:22" x14ac:dyDescent="0.25">
      <c r="A39" s="34" t="s">
        <v>68</v>
      </c>
      <c r="B39" s="83">
        <f>B13</f>
        <v>3389.32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3389.32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1814.43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1814.43</v>
      </c>
      <c r="I40" s="85"/>
      <c r="J40" s="5">
        <v>2040</v>
      </c>
      <c r="K40" s="86">
        <f>SUM(K26:K39)</f>
        <v>17453.740000000002</v>
      </c>
      <c r="N40" s="1">
        <v>2040</v>
      </c>
      <c r="O40" s="1"/>
      <c r="P40" s="5">
        <v>2</v>
      </c>
      <c r="Q40" s="5">
        <v>2040</v>
      </c>
      <c r="R40" s="86">
        <f>SUM(R26:R39)</f>
        <v>8726.8700000000008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2665.11</v>
      </c>
      <c r="C42" s="27">
        <f>B42-F42-G42-H42</f>
        <v>0</v>
      </c>
      <c r="D42" s="4">
        <v>6580</v>
      </c>
      <c r="F42" s="90">
        <v>146.44999999999999</v>
      </c>
      <c r="G42" s="90">
        <v>164.15</v>
      </c>
      <c r="H42" s="37">
        <f>B42-F42-G42</f>
        <v>2354.5100000000002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623.32000000000005</v>
      </c>
      <c r="C43" s="27">
        <f>B43-F43-G43-H43</f>
        <v>0</v>
      </c>
      <c r="D43" s="4">
        <v>6580</v>
      </c>
      <c r="F43" s="90">
        <v>34.25</v>
      </c>
      <c r="G43" s="90">
        <v>178.72</v>
      </c>
      <c r="H43" s="37">
        <f>B43-F43-G43</f>
        <v>410.35</v>
      </c>
      <c r="I43" s="12">
        <v>3</v>
      </c>
      <c r="J43" s="13">
        <v>6500</v>
      </c>
      <c r="K43" s="92">
        <f>F7</f>
        <v>3882.1</v>
      </c>
      <c r="M43" s="5" t="s">
        <v>71</v>
      </c>
      <c r="O43" s="1"/>
      <c r="P43" s="5">
        <v>3</v>
      </c>
      <c r="Q43" s="13">
        <v>6500</v>
      </c>
      <c r="R43" s="33">
        <f>+K43*$R$6</f>
        <v>1941.05</v>
      </c>
      <c r="S43" s="32"/>
    </row>
    <row r="44" spans="1:22" x14ac:dyDescent="0.25">
      <c r="A44" s="34" t="s">
        <v>72</v>
      </c>
      <c r="B44" s="89">
        <v>13.47</v>
      </c>
      <c r="C44" s="27">
        <f>B44-F44-G44-H44</f>
        <v>0</v>
      </c>
      <c r="D44" s="4">
        <v>6580</v>
      </c>
      <c r="F44" s="90"/>
      <c r="G44" s="91"/>
      <c r="H44" s="37">
        <f>B44-G44-F44</f>
        <v>13.47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49.6</v>
      </c>
      <c r="C45" s="27">
        <f>B45-F45-G45-H45</f>
        <v>0</v>
      </c>
      <c r="D45" s="4">
        <v>6580</v>
      </c>
      <c r="F45" s="90"/>
      <c r="G45" s="94"/>
      <c r="H45" s="37">
        <f>B45-G45-F45</f>
        <v>49.6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2.16</v>
      </c>
      <c r="C46" s="27">
        <f>B46-F46-G46-H46</f>
        <v>0</v>
      </c>
      <c r="F46" s="96"/>
      <c r="G46" s="96"/>
      <c r="H46" s="37">
        <f>B46-G46-F46</f>
        <v>2.16</v>
      </c>
      <c r="I46" s="12">
        <v>3</v>
      </c>
      <c r="J46" s="13">
        <v>6580</v>
      </c>
      <c r="K46" s="32">
        <f>ROUND($F$42+$F$43+$F$44+$F$45-$F$15+$F$46,2)</f>
        <v>178.3</v>
      </c>
      <c r="M46" s="39" t="s">
        <v>21</v>
      </c>
      <c r="O46" s="1"/>
      <c r="P46" s="5">
        <v>3</v>
      </c>
      <c r="Q46" s="13">
        <v>6580</v>
      </c>
      <c r="R46" s="33">
        <f>+K46*$R$6</f>
        <v>89.15</v>
      </c>
      <c r="S46" s="32"/>
    </row>
    <row r="47" spans="1:22" ht="18.75" thickBot="1" x14ac:dyDescent="0.3">
      <c r="B47" s="97">
        <f>SUM(B42:B46)</f>
        <v>3353.66</v>
      </c>
      <c r="C47" s="27">
        <f>B48-F47-G47-H47</f>
        <v>0</v>
      </c>
      <c r="D47" s="7"/>
      <c r="E47" s="1"/>
      <c r="F47" s="97">
        <f>SUM(F37:F46)</f>
        <v>180.7</v>
      </c>
      <c r="G47" s="97">
        <f>SUM(G37:G46)</f>
        <v>342.87</v>
      </c>
      <c r="H47" s="71">
        <f>SUM(H37:H46)</f>
        <v>11322.220000000001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11845.79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48.93</v>
      </c>
      <c r="M48" s="5" t="s">
        <v>40</v>
      </c>
      <c r="O48" s="1"/>
      <c r="P48" s="5">
        <v>3</v>
      </c>
      <c r="Q48" s="13">
        <v>6300</v>
      </c>
      <c r="R48" s="33">
        <f>+K48*$R$6</f>
        <v>24.465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-7.54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-3.77</v>
      </c>
      <c r="S50" s="32"/>
    </row>
    <row r="51" spans="1:23" x14ac:dyDescent="0.25">
      <c r="A51" s="25" t="s">
        <v>78</v>
      </c>
      <c r="B51" s="80">
        <f>B23</f>
        <v>2048.92</v>
      </c>
      <c r="C51" s="106"/>
      <c r="D51" s="28">
        <v>6570</v>
      </c>
      <c r="E51" s="29"/>
      <c r="F51" s="81">
        <f>F23</f>
        <v>172.48</v>
      </c>
      <c r="G51" s="107">
        <f>G23</f>
        <v>623.69000000000005</v>
      </c>
      <c r="H51" s="31">
        <f>B51-G51-F51</f>
        <v>1252.75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65.34</v>
      </c>
      <c r="M52" s="5" t="s">
        <v>25</v>
      </c>
      <c r="O52" s="1"/>
      <c r="P52" s="5">
        <v>3</v>
      </c>
      <c r="Q52" s="13">
        <v>6570</v>
      </c>
      <c r="R52" s="33">
        <f>+K52</f>
        <v>65.34</v>
      </c>
      <c r="S52" s="32"/>
    </row>
    <row r="53" spans="1:23" x14ac:dyDescent="0.25">
      <c r="A53" s="34" t="s">
        <v>60</v>
      </c>
      <c r="B53" s="108">
        <f>SUM(B51:B52)</f>
        <v>2048.92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1298.92</v>
      </c>
      <c r="C55" s="111"/>
      <c r="D55" s="4">
        <v>6571</v>
      </c>
      <c r="F55" s="90">
        <v>98.56</v>
      </c>
      <c r="G55" s="90">
        <v>371.22</v>
      </c>
      <c r="H55" s="37">
        <f>B55-F55-G55</f>
        <v>829.1400000000001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108.62</v>
      </c>
      <c r="C56" s="111"/>
      <c r="D56" s="4">
        <v>6571</v>
      </c>
      <c r="F56" s="93"/>
      <c r="G56" s="93"/>
      <c r="H56" s="37">
        <f>B56-F56-G56</f>
        <v>108.62</v>
      </c>
      <c r="I56" s="12"/>
      <c r="J56" s="13"/>
      <c r="K56" s="86">
        <f>SUM(K43:K55)</f>
        <v>4254.9400000000005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2214.7950000000001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653.42999999999995</v>
      </c>
      <c r="C58" s="111"/>
      <c r="D58" s="4">
        <v>6570</v>
      </c>
      <c r="F58" s="88">
        <f>ROUND(B58*10%,2)</f>
        <v>65.34</v>
      </c>
      <c r="G58" s="88">
        <f>ROUND(B58*30%,2)</f>
        <v>196.03</v>
      </c>
      <c r="H58" s="37">
        <f>ROUND(B58-F58-G58,2)</f>
        <v>392.06</v>
      </c>
      <c r="I58" s="52">
        <v>1</v>
      </c>
      <c r="J58" s="10">
        <v>1012</v>
      </c>
      <c r="K58" s="113">
        <f>-(K23+K40+K56+K74+K84+K90)-K59</f>
        <v>-50526.479999999989</v>
      </c>
      <c r="M58" s="1"/>
      <c r="N58" s="32">
        <f>+'[7]1012-CNB Checking'!$F$98+'[8]1012-CNB Checking'!$F$13</f>
        <v>50983.670000000006</v>
      </c>
      <c r="O58" s="114">
        <f>+K58+N58+K59</f>
        <v>1.688249540165998E-11</v>
      </c>
      <c r="P58" s="32"/>
      <c r="R58" s="33"/>
    </row>
    <row r="59" spans="1:23" ht="18.75" thickTop="1" x14ac:dyDescent="0.25">
      <c r="A59" s="34" t="s">
        <v>48</v>
      </c>
      <c r="B59" s="83">
        <f>B24</f>
        <v>451.11</v>
      </c>
      <c r="C59" s="27"/>
      <c r="F59" s="88">
        <f>F24</f>
        <v>0</v>
      </c>
      <c r="G59" s="88">
        <f>G24</f>
        <v>123.58</v>
      </c>
      <c r="H59" s="37">
        <f>B59-F59-G59</f>
        <v>327.53000000000003</v>
      </c>
      <c r="I59" s="52">
        <v>1</v>
      </c>
      <c r="J59" s="10">
        <v>1012</v>
      </c>
      <c r="K59" s="21">
        <v>-457.19</v>
      </c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345</v>
      </c>
      <c r="C60" s="27"/>
      <c r="F60" s="88">
        <f>F25</f>
        <v>101.92</v>
      </c>
      <c r="G60" s="88">
        <f>G25</f>
        <v>0</v>
      </c>
      <c r="H60" s="37">
        <f>B60-F60-G60</f>
        <v>243.07999999999998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4797.380000000001</v>
      </c>
      <c r="C61" s="117"/>
      <c r="D61" s="7"/>
      <c r="E61" s="1"/>
      <c r="F61" s="71">
        <f>F51+F55</f>
        <v>271.03999999999996</v>
      </c>
      <c r="G61" s="71">
        <f>G51+G55</f>
        <v>994.91000000000008</v>
      </c>
      <c r="H61" s="118">
        <f>B61-G61</f>
        <v>3802.4700000000012</v>
      </c>
      <c r="I61" s="115">
        <v>1</v>
      </c>
      <c r="J61" s="119">
        <v>1831</v>
      </c>
      <c r="K61" s="120">
        <v>85</v>
      </c>
      <c r="M61" s="5" t="s">
        <v>42</v>
      </c>
      <c r="O61" s="121"/>
      <c r="P61" s="115">
        <v>1</v>
      </c>
      <c r="Q61" s="119">
        <v>1831</v>
      </c>
      <c r="R61" s="16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>
        <f>1501.5-K75</f>
        <v>97.25</v>
      </c>
      <c r="M62" s="5" t="s">
        <v>132</v>
      </c>
      <c r="O62" s="1"/>
      <c r="P62" s="115">
        <v>1</v>
      </c>
      <c r="Q62" s="5">
        <v>6565</v>
      </c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85">
        <v>1</v>
      </c>
      <c r="Q63" s="5">
        <v>1831</v>
      </c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>
        <v>1</v>
      </c>
      <c r="Q64" s="5">
        <v>6630</v>
      </c>
      <c r="R64" s="16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>
        <f>34.62-K78</f>
        <v>23.08</v>
      </c>
      <c r="M65" s="5" t="s">
        <v>90</v>
      </c>
      <c r="O65" s="1"/>
      <c r="P65" s="85">
        <v>1</v>
      </c>
      <c r="Q65" s="5">
        <v>6630</v>
      </c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680.49-K79</f>
        <v>659.76</v>
      </c>
      <c r="M66" s="5" t="s">
        <v>133</v>
      </c>
      <c r="O66" s="1"/>
      <c r="P66" s="85">
        <v>1</v>
      </c>
      <c r="Q66" s="5">
        <v>6551</v>
      </c>
      <c r="R66" s="16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>
        <v>1</v>
      </c>
      <c r="Q67" s="5">
        <v>6012</v>
      </c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>
        <f>487.64+1.69</f>
        <v>489.33</v>
      </c>
      <c r="C70" s="106"/>
      <c r="D70" s="28">
        <v>6300</v>
      </c>
      <c r="E70" s="29"/>
      <c r="F70" s="81">
        <f>B70*F69</f>
        <v>48.933</v>
      </c>
      <c r="G70" s="107">
        <f>B70*G69</f>
        <v>146.79899999999998</v>
      </c>
      <c r="H70" s="31">
        <f>B70*H69-0</f>
        <v>293.59799999999996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48.933</v>
      </c>
      <c r="G71" s="71">
        <f>G70</f>
        <v>146.79899999999998</v>
      </c>
      <c r="H71" s="118">
        <f>H70</f>
        <v>293.59799999999996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50494.34</v>
      </c>
      <c r="F74" s="6"/>
      <c r="I74" s="85" t="s">
        <v>97</v>
      </c>
      <c r="K74" s="129">
        <f>SUM(K61:K73)</f>
        <v>865.08999999999992</v>
      </c>
      <c r="O74" s="1"/>
      <c r="R74" s="162"/>
    </row>
    <row r="75" spans="1:20" ht="18.75" thickBot="1" x14ac:dyDescent="0.3">
      <c r="F75" s="6"/>
      <c r="I75" s="85">
        <v>2</v>
      </c>
      <c r="J75" s="167">
        <v>6565</v>
      </c>
      <c r="K75" s="120">
        <v>1404.25</v>
      </c>
      <c r="M75" s="5" t="s">
        <v>132</v>
      </c>
      <c r="O75" s="1"/>
      <c r="P75" s="85">
        <v>2</v>
      </c>
      <c r="Q75" s="119" t="s">
        <v>107</v>
      </c>
      <c r="R75" s="163"/>
      <c r="S75" s="32"/>
    </row>
    <row r="76" spans="1:20" x14ac:dyDescent="0.25">
      <c r="A76" s="129" t="s">
        <v>99</v>
      </c>
      <c r="B76" s="26">
        <v>33285.360000000001</v>
      </c>
      <c r="C76" s="130"/>
      <c r="D76" s="131" t="s">
        <v>100</v>
      </c>
      <c r="E76" s="6"/>
      <c r="F76" s="6"/>
      <c r="G76" s="132">
        <v>33742.550000000003</v>
      </c>
      <c r="H76" s="6"/>
      <c r="I76" s="85">
        <v>2</v>
      </c>
      <c r="J76" s="119">
        <v>1831</v>
      </c>
      <c r="K76" s="120"/>
      <c r="M76" s="5" t="s">
        <v>42</v>
      </c>
      <c r="O76" s="1"/>
      <c r="P76" s="85">
        <v>2</v>
      </c>
      <c r="Q76" s="119">
        <v>1831</v>
      </c>
      <c r="R76" s="163"/>
      <c r="S76" s="32"/>
    </row>
    <row r="77" spans="1:20" x14ac:dyDescent="0.25">
      <c r="A77" s="129" t="s">
        <v>101</v>
      </c>
      <c r="B77" s="130">
        <v>-457.19</v>
      </c>
      <c r="C77" s="130"/>
      <c r="D77" s="131" t="s">
        <v>102</v>
      </c>
      <c r="E77" s="6"/>
      <c r="F77" s="6"/>
      <c r="G77" s="6">
        <f>+B77</f>
        <v>-457.19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>
        <v>2</v>
      </c>
      <c r="Q77" s="5">
        <v>6630</v>
      </c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85">
        <v>2</v>
      </c>
      <c r="Q78" s="5">
        <v>6630</v>
      </c>
      <c r="R78" s="163"/>
      <c r="S78" s="32"/>
    </row>
    <row r="79" spans="1:20" ht="18.75" thickBot="1" x14ac:dyDescent="0.3">
      <c r="A79" s="134" t="s">
        <v>104</v>
      </c>
      <c r="B79" s="135">
        <f>ROUND(SUM(B76:B78),2)</f>
        <v>32828.17</v>
      </c>
      <c r="C79" s="130"/>
      <c r="D79" s="131"/>
      <c r="E79" s="6"/>
      <c r="F79" s="6"/>
      <c r="G79" s="129">
        <f>SUM(G76:G78)</f>
        <v>33285.360000000001</v>
      </c>
      <c r="H79" s="6" t="s">
        <v>105</v>
      </c>
      <c r="I79" s="85">
        <v>2</v>
      </c>
      <c r="J79" s="5">
        <v>6551</v>
      </c>
      <c r="K79" s="120">
        <v>20.73</v>
      </c>
      <c r="M79" s="5" t="s">
        <v>91</v>
      </c>
      <c r="O79" s="1"/>
      <c r="P79" s="85">
        <v>2</v>
      </c>
      <c r="Q79" s="5">
        <v>6551</v>
      </c>
      <c r="R79" s="163"/>
      <c r="S79" s="32"/>
    </row>
    <row r="80" spans="1:20" ht="18.75" thickBot="1" x14ac:dyDescent="0.3">
      <c r="A80" s="1" t="s">
        <v>106</v>
      </c>
      <c r="B80" s="26">
        <f>50037.15</f>
        <v>50037.15</v>
      </c>
      <c r="H80" s="128" t="str">
        <f>IF(B79-G79=0,"ok","NO")</f>
        <v>NO</v>
      </c>
      <c r="I80" s="85">
        <v>2</v>
      </c>
      <c r="J80" s="5">
        <v>6040</v>
      </c>
      <c r="K80" s="120"/>
      <c r="M80" s="5" t="s">
        <v>131</v>
      </c>
      <c r="O80" s="1"/>
      <c r="P80" s="85">
        <v>2</v>
      </c>
      <c r="Q80" s="5">
        <v>6040</v>
      </c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162"/>
      <c r="S81" s="32"/>
    </row>
    <row r="82" spans="1:19" ht="18.75" thickBot="1" x14ac:dyDescent="0.3">
      <c r="B82" s="3">
        <f>+B80+B81</f>
        <v>50037.15</v>
      </c>
      <c r="C82" s="128" t="str">
        <f>IF(B74=B82,"ok","NO")</f>
        <v>NO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4.9453774408902973E-12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1436.52</v>
      </c>
      <c r="O84" s="1"/>
      <c r="P84" s="5">
        <v>3</v>
      </c>
      <c r="Q84" s="5">
        <v>6551</v>
      </c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164"/>
      <c r="S85" s="32"/>
    </row>
    <row r="86" spans="1:19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132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2301.6099999999997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38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4FDA-E216-4FD9-BA95-62FB8E5570C4}">
  <sheetPr>
    <tabColor rgb="FF00B0F0"/>
    <pageSetUpPr fitToPage="1"/>
  </sheetPr>
  <dimension ref="A2:Y100"/>
  <sheetViews>
    <sheetView topLeftCell="A40" zoomScale="70" zoomScaleNormal="70" zoomScalePageLayoutView="70" workbookViewId="0">
      <selection activeCell="J3" sqref="J3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2.8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32" width="10.5" style="5"/>
    <col min="33" max="33" width="19.75" style="5" bestFit="1" customWidth="1"/>
    <col min="34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43647</v>
      </c>
      <c r="K2" s="9"/>
      <c r="M2" s="5" t="s">
        <v>1</v>
      </c>
    </row>
    <row r="3" spans="1:24" ht="18.75" thickBot="1" x14ac:dyDescent="0.3">
      <c r="A3" s="10" t="s">
        <v>2</v>
      </c>
      <c r="B3" s="8">
        <v>43616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B6" s="74"/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>
        <v>600</v>
      </c>
      <c r="C7" s="27"/>
      <c r="D7" s="28"/>
      <c r="E7" s="29"/>
      <c r="F7" s="30"/>
      <c r="G7" s="146"/>
      <c r="H7" s="37">
        <f t="shared" ref="H7:H32" si="0">B7-F7-G7</f>
        <v>600</v>
      </c>
      <c r="I7" s="12">
        <v>1</v>
      </c>
      <c r="J7" s="13">
        <v>6510</v>
      </c>
      <c r="K7" s="32">
        <f>+H7</f>
        <v>600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>
        <v>564.54999999999995</v>
      </c>
      <c r="C8" s="27"/>
      <c r="F8" s="127"/>
      <c r="G8" s="36"/>
      <c r="H8" s="37">
        <f t="shared" si="0"/>
        <v>564.54999999999995</v>
      </c>
      <c r="I8" s="12">
        <v>1</v>
      </c>
      <c r="J8" s="13">
        <v>6505</v>
      </c>
      <c r="K8" s="32">
        <f>+H8</f>
        <v>564.54999999999995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/>
      <c r="C9" s="27"/>
      <c r="D9" s="4">
        <v>6500</v>
      </c>
      <c r="F9" s="127"/>
      <c r="G9" s="36"/>
      <c r="H9" s="37">
        <f t="shared" si="0"/>
        <v>0</v>
      </c>
      <c r="I9" s="12">
        <v>1</v>
      </c>
      <c r="J9" s="13">
        <v>6500</v>
      </c>
      <c r="K9" s="32">
        <f>+H9</f>
        <v>0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27"/>
      <c r="F10" s="148"/>
      <c r="G10" s="148"/>
      <c r="H10" s="37">
        <f t="shared" si="0"/>
        <v>0</v>
      </c>
      <c r="I10" s="12">
        <v>1</v>
      </c>
      <c r="J10" s="13">
        <v>6580</v>
      </c>
      <c r="K10" s="32">
        <f>ROUND(H43+H44+H45+H46-H16+H47,2)</f>
        <v>89.09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27"/>
      <c r="F11" s="150"/>
      <c r="G11" s="150"/>
      <c r="H11" s="37">
        <f t="shared" si="0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72.209999999999994</v>
      </c>
      <c r="C12" s="27"/>
      <c r="F12" s="41"/>
      <c r="G12" s="41"/>
      <c r="H12" s="37">
        <f>B12-F12-G12</f>
        <v>72.209999999999994</v>
      </c>
      <c r="I12" s="12">
        <v>1</v>
      </c>
      <c r="J12" s="13">
        <v>6570</v>
      </c>
      <c r="K12" s="32">
        <f>-H24+H52+H59</f>
        <v>3.79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16.88</v>
      </c>
      <c r="C13" s="27"/>
      <c r="F13" s="41"/>
      <c r="G13" s="41"/>
      <c r="H13" s="37">
        <f t="shared" si="0"/>
        <v>16.88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>
        <v>7.15</v>
      </c>
      <c r="C14" s="27"/>
      <c r="F14" s="41"/>
      <c r="G14" s="41"/>
      <c r="H14" s="37">
        <f t="shared" si="0"/>
        <v>7.15</v>
      </c>
      <c r="I14" s="12">
        <v>1</v>
      </c>
      <c r="J14" s="13">
        <v>6571</v>
      </c>
      <c r="K14" s="32">
        <f>+H56</f>
        <v>41.39</v>
      </c>
      <c r="L14" s="145"/>
      <c r="M14" s="5" t="s">
        <v>61</v>
      </c>
      <c r="P14" s="1"/>
    </row>
    <row r="15" spans="1:24" x14ac:dyDescent="0.25">
      <c r="A15" s="34" t="s">
        <v>28</v>
      </c>
      <c r="B15" s="151"/>
      <c r="C15" s="27"/>
      <c r="F15" s="41"/>
      <c r="G15" s="41"/>
      <c r="H15" s="37">
        <f t="shared" si="0"/>
        <v>0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/>
      <c r="C16" s="27"/>
      <c r="F16" s="152"/>
      <c r="G16" s="44"/>
      <c r="H16" s="37">
        <f t="shared" si="0"/>
        <v>0</v>
      </c>
      <c r="I16" s="52">
        <v>1</v>
      </c>
      <c r="J16" s="10">
        <v>2120</v>
      </c>
      <c r="K16" s="21">
        <f>-H17</f>
        <v>-1.78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1">SUM(R7:R15)</f>
        <v>779.02</v>
      </c>
      <c r="S16" s="154">
        <f t="shared" si="1"/>
        <v>944.95</v>
      </c>
      <c r="T16" s="154">
        <f t="shared" si="1"/>
        <v>348.52</v>
      </c>
      <c r="U16" s="154">
        <f t="shared" si="1"/>
        <v>1512.56</v>
      </c>
      <c r="V16" s="154">
        <f t="shared" si="1"/>
        <v>670.31999999999994</v>
      </c>
      <c r="W16" s="154">
        <f t="shared" si="1"/>
        <v>4475.92</v>
      </c>
      <c r="X16" s="154">
        <f t="shared" si="1"/>
        <v>1797.86</v>
      </c>
    </row>
    <row r="17" spans="1:25" ht="19.5" thickTop="1" thickBot="1" x14ac:dyDescent="0.3">
      <c r="A17" s="34" t="s">
        <v>33</v>
      </c>
      <c r="B17" s="151">
        <v>1.78</v>
      </c>
      <c r="C17" s="27"/>
      <c r="F17" s="152"/>
      <c r="G17" s="44"/>
      <c r="H17" s="37">
        <f t="shared" si="0"/>
        <v>1.78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27"/>
      <c r="D18" s="54"/>
      <c r="E18" s="5"/>
      <c r="F18" s="41"/>
      <c r="G18" s="55"/>
      <c r="H18" s="37">
        <f t="shared" si="0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27"/>
      <c r="D19" s="54"/>
      <c r="E19" s="5"/>
      <c r="F19" s="41"/>
      <c r="G19" s="44"/>
      <c r="H19" s="37">
        <f t="shared" si="0"/>
        <v>0</v>
      </c>
      <c r="I19" s="12">
        <v>1</v>
      </c>
      <c r="J19" s="13">
        <v>6300</v>
      </c>
      <c r="K19" s="82">
        <f>ROUND(H72,2)</f>
        <v>0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27"/>
      <c r="D20" s="4"/>
      <c r="E20" s="5"/>
      <c r="F20" s="41"/>
      <c r="G20" s="55"/>
      <c r="H20" s="37">
        <f t="shared" si="0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27"/>
      <c r="D21" s="4"/>
      <c r="E21" s="5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27"/>
      <c r="D22" s="54"/>
      <c r="E22" s="5"/>
      <c r="F22" s="41"/>
      <c r="G22" s="44"/>
      <c r="H22" s="37">
        <f t="shared" si="0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27"/>
      <c r="D23" s="4"/>
      <c r="E23" s="5"/>
      <c r="F23" s="41"/>
      <c r="G23" s="55"/>
      <c r="H23" s="37">
        <f t="shared" si="0"/>
        <v>0</v>
      </c>
      <c r="I23" s="12"/>
      <c r="J23" s="13"/>
      <c r="K23" s="59">
        <f>SUM(K7:K22)</f>
        <v>1297.04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>
        <v>95.48</v>
      </c>
      <c r="C24" s="27"/>
      <c r="D24" s="4"/>
      <c r="E24" s="5"/>
      <c r="F24" s="152"/>
      <c r="G24" s="44"/>
      <c r="H24" s="37">
        <f t="shared" si="0"/>
        <v>95.48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27"/>
      <c r="D25" s="4"/>
      <c r="E25" s="5"/>
      <c r="F25" s="41"/>
      <c r="G25" s="44"/>
      <c r="H25" s="37">
        <f t="shared" si="0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27"/>
      <c r="D26" s="4"/>
      <c r="E26" s="5"/>
      <c r="F26" s="44"/>
      <c r="G26" s="44"/>
      <c r="H26" s="37">
        <f t="shared" si="0"/>
        <v>0</v>
      </c>
      <c r="I26" s="12">
        <v>2</v>
      </c>
      <c r="J26" s="13">
        <v>6510</v>
      </c>
      <c r="K26" s="32">
        <f>+G7</f>
        <v>0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27"/>
      <c r="D27" s="54"/>
      <c r="E27" s="5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63"/>
      <c r="D28" s="4"/>
      <c r="E28" s="5"/>
      <c r="F28" s="41"/>
      <c r="G28" s="55"/>
      <c r="H28" s="37">
        <f t="shared" si="0"/>
        <v>0</v>
      </c>
      <c r="I28" s="12">
        <v>2</v>
      </c>
      <c r="J28" s="13">
        <v>6500</v>
      </c>
      <c r="K28" s="32">
        <f>+G9</f>
        <v>0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27"/>
      <c r="D29" s="54"/>
      <c r="E29" s="5"/>
      <c r="F29" s="41"/>
      <c r="G29" s="44"/>
      <c r="H29" s="37">
        <f t="shared" si="0"/>
        <v>0</v>
      </c>
      <c r="I29" s="12">
        <v>2</v>
      </c>
      <c r="J29" s="13">
        <v>6580</v>
      </c>
      <c r="K29" s="32">
        <f>-G16+G43+G44+G45+G46+G47</f>
        <v>0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65"/>
      <c r="D30" s="54"/>
      <c r="E30" s="5"/>
      <c r="F30" s="66"/>
      <c r="G30" s="67"/>
      <c r="H30" s="37">
        <f t="shared" si="0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27"/>
      <c r="D31" s="4"/>
      <c r="E31" s="5"/>
      <c r="F31" s="68"/>
      <c r="G31" s="67"/>
      <c r="H31" s="37">
        <f t="shared" si="0"/>
        <v>0</v>
      </c>
      <c r="I31" s="12">
        <v>2</v>
      </c>
      <c r="J31" s="13">
        <v>6570</v>
      </c>
      <c r="K31" s="32">
        <f>-G24+G52+G59</f>
        <v>0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27">
        <f t="shared" ref="C32" si="2">B32-F32-G32-H32</f>
        <v>0</v>
      </c>
      <c r="D32" s="4">
        <v>6500</v>
      </c>
      <c r="E32" s="5"/>
      <c r="F32" s="69"/>
      <c r="G32" s="70"/>
      <c r="H32" s="37">
        <f t="shared" si="0"/>
        <v>0</v>
      </c>
      <c r="I32" s="12">
        <v>2</v>
      </c>
      <c r="J32" s="13">
        <v>6571</v>
      </c>
      <c r="K32" s="32">
        <f>G56</f>
        <v>0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971.04999999999973</v>
      </c>
      <c r="C33" s="72">
        <f>B33-F33-G33-H33</f>
        <v>-1.7799999999999727</v>
      </c>
      <c r="D33" s="71"/>
      <c r="E33" s="71"/>
      <c r="F33" s="71">
        <f>F7+F8+F10+F11-F12-F13-F14-F15-F16-F30-F21-F27-F26-F29-F18-F22-F19-F24-F23-F25+F31+F32</f>
        <v>0</v>
      </c>
      <c r="G33" s="71">
        <f>G7+G8+G10+G11-G12-G13-G14-G15-G16-G30-G21-G27-G26-G29-G18-G22-G19-G24-G23-G25+G31+G32</f>
        <v>0</v>
      </c>
      <c r="H33" s="71">
        <f>H7+H8+H10+H11-H12-H13-H14-H15-H16-H30-H21-H27-H26-H29-H18-H22-H19-H24-H23-H25+H31+H32-H20-H28</f>
        <v>972.8299999999997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0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72.209999999999994</v>
      </c>
      <c r="C38" s="27">
        <f>B38-F38-G38-H38</f>
        <v>0</v>
      </c>
      <c r="D38" s="28">
        <v>2100</v>
      </c>
      <c r="E38" s="29"/>
      <c r="F38" s="81">
        <v>0</v>
      </c>
      <c r="G38" s="80">
        <v>0</v>
      </c>
      <c r="H38" s="31">
        <f>B38-G38-F38</f>
        <v>72.209999999999994</v>
      </c>
      <c r="I38" s="12">
        <v>2</v>
      </c>
      <c r="J38" s="13">
        <v>6300</v>
      </c>
      <c r="K38" s="84">
        <f>ROUND(G72,2)</f>
        <v>0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16.88</v>
      </c>
      <c r="C39" s="27">
        <f>B39-F39-G39-H39</f>
        <v>0</v>
      </c>
      <c r="D39" s="4">
        <v>2100</v>
      </c>
      <c r="E39" s="5"/>
      <c r="F39" s="6">
        <v>0</v>
      </c>
      <c r="G39" s="83">
        <v>0</v>
      </c>
      <c r="H39" s="37">
        <f>B39-G39-F39</f>
        <v>16.88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7.15</v>
      </c>
      <c r="C40" s="27">
        <f>B40-F40-G40-H40</f>
        <v>0</v>
      </c>
      <c r="D40" s="4">
        <v>2110</v>
      </c>
      <c r="E40" s="5"/>
      <c r="F40" s="6">
        <v>0</v>
      </c>
      <c r="G40" s="83">
        <v>0</v>
      </c>
      <c r="H40" s="37">
        <f>B40-G40-F40</f>
        <v>7.15</v>
      </c>
      <c r="I40" s="85"/>
      <c r="J40" s="5"/>
      <c r="K40" s="86">
        <f>SUM(K26:K39)</f>
        <v>0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0</v>
      </c>
      <c r="C41" s="27">
        <f>B41-F41-G41-H41</f>
        <v>0</v>
      </c>
      <c r="D41" s="4">
        <v>2120</v>
      </c>
      <c r="E41" s="5"/>
      <c r="F41" s="6">
        <v>0</v>
      </c>
      <c r="G41" s="83">
        <v>0</v>
      </c>
      <c r="H41" s="37">
        <f>B41-G41-F41</f>
        <v>0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72.209999999999994</v>
      </c>
      <c r="C43" s="27">
        <f>B43-F43-G43-H43</f>
        <v>0</v>
      </c>
      <c r="D43" s="4">
        <v>6580</v>
      </c>
      <c r="E43" s="5"/>
      <c r="F43" s="152"/>
      <c r="G43" s="152"/>
      <c r="H43" s="37">
        <f>B43-F43-G43</f>
        <v>72.209999999999994</v>
      </c>
      <c r="I43" s="12">
        <v>3</v>
      </c>
      <c r="J43" s="13">
        <v>6510</v>
      </c>
      <c r="K43" s="92">
        <f>+F7</f>
        <v>0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16.88</v>
      </c>
      <c r="C44" s="27">
        <f>B44-F44-G44-H44</f>
        <v>0</v>
      </c>
      <c r="D44" s="4">
        <v>6580</v>
      </c>
      <c r="E44" s="5"/>
      <c r="F44" s="152"/>
      <c r="G44" s="152"/>
      <c r="H44" s="37">
        <f>B44-F44-G44</f>
        <v>16.88</v>
      </c>
      <c r="I44" s="12">
        <v>3</v>
      </c>
      <c r="J44" s="13">
        <v>6505</v>
      </c>
      <c r="K44" s="92">
        <f>+F8</f>
        <v>0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/>
      <c r="C45" s="27">
        <f>B45-F45-G45-H45</f>
        <v>0</v>
      </c>
      <c r="D45" s="4">
        <v>6580</v>
      </c>
      <c r="E45" s="5"/>
      <c r="F45" s="90"/>
      <c r="G45" s="91"/>
      <c r="H45" s="37">
        <f>B45-G45-F45</f>
        <v>0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/>
      <c r="C46" s="27">
        <f>B46-F46-G46-H46</f>
        <v>0</v>
      </c>
      <c r="D46" s="4">
        <v>6580</v>
      </c>
      <c r="E46" s="5"/>
      <c r="F46" s="93"/>
      <c r="G46" s="94"/>
      <c r="H46" s="37">
        <f>B46-G46-F46</f>
        <v>0</v>
      </c>
      <c r="I46" s="12">
        <v>3</v>
      </c>
      <c r="J46" s="13">
        <v>6580</v>
      </c>
      <c r="K46" s="92">
        <f>-F16+F43+F44+F45+F46+F47</f>
        <v>0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/>
      <c r="C47" s="27">
        <f>B47-F47-G47-H47</f>
        <v>0</v>
      </c>
      <c r="D47" s="4"/>
      <c r="E47" s="5"/>
      <c r="F47" s="95"/>
      <c r="G47" s="96"/>
      <c r="H47" s="37">
        <f>B47-G47-F47</f>
        <v>0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89.089999999999989</v>
      </c>
      <c r="C48" s="27">
        <f>B49-F48-G48-H48</f>
        <v>0</v>
      </c>
      <c r="D48" s="7"/>
      <c r="E48" s="1"/>
      <c r="F48" s="97">
        <f>SUM(F38:F47)</f>
        <v>0</v>
      </c>
      <c r="G48" s="97">
        <f>SUM(G38:G47)</f>
        <v>0</v>
      </c>
      <c r="H48" s="71">
        <f>SUM(H38:H47)</f>
        <v>185.32999999999998</v>
      </c>
      <c r="I48" s="12">
        <v>3</v>
      </c>
      <c r="J48" s="13">
        <v>6300</v>
      </c>
      <c r="K48" s="92">
        <f>ROUND(F72,2)</f>
        <v>0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5" s="33" customFormat="1" ht="19.5" thickTop="1" thickBot="1" x14ac:dyDescent="0.3">
      <c r="A49" s="34" t="s">
        <v>60</v>
      </c>
      <c r="B49" s="98">
        <f>SUM(B38:B47)</f>
        <v>185.32999999999998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5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0</v>
      </c>
      <c r="L50" s="1"/>
      <c r="M50" s="1" t="s">
        <v>34</v>
      </c>
      <c r="N50" s="1"/>
      <c r="O50" s="1"/>
      <c r="P50" s="1"/>
    </row>
    <row r="51" spans="1:25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5" x14ac:dyDescent="0.25">
      <c r="A52" s="25" t="s">
        <v>78</v>
      </c>
      <c r="B52" s="80">
        <f>B24</f>
        <v>95.48</v>
      </c>
      <c r="C52" s="106"/>
      <c r="D52" s="28">
        <v>6570</v>
      </c>
      <c r="E52" s="29"/>
      <c r="F52" s="81">
        <f>F24</f>
        <v>0</v>
      </c>
      <c r="G52" s="107">
        <f>G24</f>
        <v>0</v>
      </c>
      <c r="H52" s="31">
        <f>B52-G52-F52</f>
        <v>95.48</v>
      </c>
      <c r="I52" s="12">
        <v>3</v>
      </c>
      <c r="J52" s="13">
        <v>6570</v>
      </c>
      <c r="K52" s="92">
        <f>F59</f>
        <v>0</v>
      </c>
      <c r="M52" s="5" t="s">
        <v>25</v>
      </c>
      <c r="O52" s="1"/>
      <c r="P52" s="1"/>
    </row>
    <row r="53" spans="1:25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0</v>
      </c>
      <c r="M53" s="5" t="s">
        <v>27</v>
      </c>
      <c r="O53" s="1"/>
      <c r="P53" s="1"/>
    </row>
    <row r="54" spans="1:25" x14ac:dyDescent="0.25">
      <c r="A54" s="34" t="s">
        <v>60</v>
      </c>
      <c r="B54" s="108">
        <f>SUM(B52:B53)</f>
        <v>95.48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5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5" ht="18.75" thickBot="1" x14ac:dyDescent="0.3">
      <c r="A56" s="34" t="s">
        <v>80</v>
      </c>
      <c r="B56" s="110">
        <v>41.39</v>
      </c>
      <c r="C56" s="111"/>
      <c r="D56" s="4">
        <v>6571</v>
      </c>
      <c r="F56" s="152"/>
      <c r="G56" s="44"/>
      <c r="H56" s="37">
        <f>B56-F56-G56</f>
        <v>41.39</v>
      </c>
      <c r="I56" s="12"/>
      <c r="J56" s="13"/>
      <c r="K56" s="86">
        <f>SUM(K43:K55)</f>
        <v>0</v>
      </c>
      <c r="L56" s="1"/>
      <c r="N56" s="1">
        <v>2040</v>
      </c>
      <c r="O56" s="1"/>
      <c r="P56" s="1"/>
      <c r="Q56" s="33">
        <f>+O58+K58</f>
        <v>0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5" ht="18.75" thickTop="1" x14ac:dyDescent="0.25">
      <c r="A57" s="34" t="s">
        <v>61</v>
      </c>
      <c r="B57" s="112">
        <v>3</v>
      </c>
      <c r="C57" s="111"/>
      <c r="D57" s="4">
        <v>6571</v>
      </c>
      <c r="F57" s="93"/>
      <c r="G57" s="157"/>
      <c r="H57" s="37">
        <f>B57-F57-G57</f>
        <v>3</v>
      </c>
      <c r="I57" s="12"/>
      <c r="J57" s="13"/>
      <c r="K57" s="32"/>
      <c r="M57" s="1" t="s">
        <v>83</v>
      </c>
      <c r="O57" s="1"/>
      <c r="P57" s="1"/>
    </row>
    <row r="58" spans="1:25" ht="18.75" thickBot="1" x14ac:dyDescent="0.3">
      <c r="A58" s="34" t="s">
        <v>82</v>
      </c>
      <c r="B58" s="83">
        <f>+B20</f>
        <v>0</v>
      </c>
      <c r="C58" s="111"/>
      <c r="F58" s="6"/>
      <c r="G58" s="88"/>
      <c r="H58" s="37">
        <f>B58-F58-G58</f>
        <v>0</v>
      </c>
      <c r="I58" s="52">
        <v>1</v>
      </c>
      <c r="J58" s="10">
        <v>1012</v>
      </c>
      <c r="K58" s="113">
        <f>-(K23+K40+K56+K76+K83+K88)-K59-K60</f>
        <v>-1297.04</v>
      </c>
      <c r="M58" s="1"/>
      <c r="O58" s="114">
        <f>+'[8]1012-CNB Checking'!$F$20</f>
        <v>1297.04</v>
      </c>
      <c r="P58" s="114"/>
      <c r="Y58" s="32">
        <f>+K58+O58</f>
        <v>0</v>
      </c>
    </row>
    <row r="59" spans="1:25" ht="18.75" thickTop="1" x14ac:dyDescent="0.25">
      <c r="A59" s="34" t="s">
        <v>25</v>
      </c>
      <c r="B59" s="110">
        <v>3.79</v>
      </c>
      <c r="C59" s="111"/>
      <c r="D59" s="4">
        <v>6570</v>
      </c>
      <c r="F59" s="160">
        <f>+((F7+F8)/(B8+B7))*B59</f>
        <v>0</v>
      </c>
      <c r="G59" s="88">
        <f>+((G7+G8)/(B7+B8))*B59</f>
        <v>0</v>
      </c>
      <c r="H59" s="37">
        <f>+B59-F59-G59</f>
        <v>3.79</v>
      </c>
      <c r="I59" s="85">
        <v>1</v>
      </c>
      <c r="K59" s="21"/>
      <c r="O59" s="21"/>
      <c r="P59" s="1"/>
    </row>
    <row r="60" spans="1:25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85">
        <v>1</v>
      </c>
      <c r="K60" s="21"/>
      <c r="O60" s="21"/>
      <c r="P60" s="1"/>
    </row>
    <row r="61" spans="1:25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>B61-F61-G61</f>
        <v>0</v>
      </c>
      <c r="I61" s="85"/>
      <c r="K61" s="21"/>
      <c r="O61" s="21"/>
      <c r="P61" s="1"/>
    </row>
    <row r="62" spans="1:25" ht="18.75" thickBot="1" x14ac:dyDescent="0.3">
      <c r="A62" s="34" t="s">
        <v>60</v>
      </c>
      <c r="B62" s="116">
        <f>B54+B60+B61+B56+B59+B58</f>
        <v>140.66</v>
      </c>
      <c r="C62" s="117"/>
      <c r="D62" s="7"/>
      <c r="E62" s="1"/>
      <c r="F62" s="71">
        <f>F52+F56</f>
        <v>0</v>
      </c>
      <c r="G62" s="71">
        <f>G52+G56</f>
        <v>0</v>
      </c>
      <c r="H62" s="118">
        <f>B62-G62</f>
        <v>140.66</v>
      </c>
      <c r="I62" s="115" t="s">
        <v>85</v>
      </c>
      <c r="K62" s="32"/>
      <c r="O62" s="1"/>
      <c r="P62" s="1"/>
    </row>
    <row r="63" spans="1:25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5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v>0.1</v>
      </c>
      <c r="G65" s="123">
        <v>0.3</v>
      </c>
      <c r="H65" s="123">
        <v>0.6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0.1</v>
      </c>
      <c r="G70" s="123">
        <f>G65</f>
        <v>0.3</v>
      </c>
      <c r="H70" s="123">
        <f>H65</f>
        <v>0.6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/>
      <c r="C71" s="106"/>
      <c r="D71" s="28">
        <v>6300</v>
      </c>
      <c r="E71" s="29"/>
      <c r="F71" s="81">
        <f>B71*F70</f>
        <v>0</v>
      </c>
      <c r="G71" s="107">
        <f>B71*G70</f>
        <v>0</v>
      </c>
      <c r="H71" s="31">
        <f>B71*H70-0</f>
        <v>0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0</v>
      </c>
      <c r="C72" s="117"/>
      <c r="D72" s="7"/>
      <c r="E72" s="1"/>
      <c r="F72" s="71">
        <f>F71</f>
        <v>0</v>
      </c>
      <c r="G72" s="71">
        <f>G71</f>
        <v>0</v>
      </c>
      <c r="H72" s="118">
        <f>H71</f>
        <v>0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1297.04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968.05</v>
      </c>
      <c r="C77" s="130"/>
      <c r="D77" s="131" t="s">
        <v>100</v>
      </c>
      <c r="E77" s="6"/>
      <c r="F77" s="6"/>
      <c r="G77" s="132"/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968.05</v>
      </c>
      <c r="C80" s="130"/>
      <c r="D80" s="131"/>
      <c r="E80" s="6"/>
      <c r="F80" s="6"/>
      <c r="G80" s="129">
        <f>SUM(G77:G79)</f>
        <v>0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1297.04</v>
      </c>
      <c r="C81" s="3"/>
      <c r="D81" s="4"/>
      <c r="E81" s="5"/>
      <c r="F81" s="5"/>
      <c r="G81" s="5"/>
      <c r="H81" s="128" t="str">
        <f>IF(B80-G80=0,"ok","NO")</f>
        <v>NO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0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1297.04</v>
      </c>
      <c r="C83" s="128" t="str">
        <f>IF(B75=B83,"ok","NO")</f>
        <v>ok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0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A533-7AAF-4A4A-9BED-011BDB8AFB30}">
  <sheetPr>
    <tabColor rgb="FF00B050"/>
    <pageSetUpPr fitToPage="1"/>
  </sheetPr>
  <dimension ref="A2:Z99"/>
  <sheetViews>
    <sheetView zoomScale="70" zoomScaleNormal="70" zoomScalePageLayoutView="70" workbookViewId="0">
      <selection activeCell="S68" sqref="S68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5.37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43658</v>
      </c>
      <c r="K2" s="9"/>
      <c r="M2" s="5" t="s">
        <v>1</v>
      </c>
    </row>
    <row r="3" spans="1:19" x14ac:dyDescent="0.25">
      <c r="A3" s="10" t="s">
        <v>2</v>
      </c>
      <c r="B3" s="8">
        <v>43651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0.5</v>
      </c>
    </row>
    <row r="7" spans="1:19" x14ac:dyDescent="0.25">
      <c r="A7" s="25" t="s">
        <v>14</v>
      </c>
      <c r="B7" s="26">
        <f>44103.82+74.49</f>
        <v>44178.31</v>
      </c>
      <c r="C7" s="27">
        <f>B7-F7-G7-H7</f>
        <v>0</v>
      </c>
      <c r="D7" s="28">
        <v>6500</v>
      </c>
      <c r="E7" s="29"/>
      <c r="F7" s="30">
        <v>3564.9</v>
      </c>
      <c r="G7" s="30">
        <v>16429.54</v>
      </c>
      <c r="H7" s="31">
        <f t="shared" ref="H7:H31" si="0">B7-F7-G7</f>
        <v>24183.869999999995</v>
      </c>
      <c r="I7" s="12">
        <v>1</v>
      </c>
      <c r="J7" s="13">
        <v>6500</v>
      </c>
      <c r="K7" s="32">
        <f>H7+H31</f>
        <v>24283.869999999995</v>
      </c>
      <c r="M7" s="5" t="s">
        <v>15</v>
      </c>
      <c r="P7" s="5">
        <v>1</v>
      </c>
      <c r="Q7" s="13">
        <v>6500</v>
      </c>
      <c r="R7" s="33">
        <f>+K7*$R$6</f>
        <v>12141.934999999998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1854.7</v>
      </c>
      <c r="C10" s="27"/>
      <c r="D10" s="4">
        <v>6040</v>
      </c>
      <c r="F10" s="35"/>
      <c r="G10" s="35">
        <v>944.13</v>
      </c>
      <c r="H10" s="37">
        <f t="shared" si="0"/>
        <v>910.57</v>
      </c>
      <c r="I10" s="12">
        <v>1</v>
      </c>
      <c r="J10" s="13">
        <v>6580</v>
      </c>
      <c r="K10" s="32">
        <f>ROUND($H$42+$H$43+$H$44+$H$45-$H$15+$H$46,2)</f>
        <v>2036.44</v>
      </c>
      <c r="M10" s="39" t="s">
        <v>21</v>
      </c>
      <c r="P10" s="5">
        <v>1</v>
      </c>
      <c r="Q10" s="13">
        <v>6580</v>
      </c>
      <c r="R10" s="33">
        <f>+K10*$R$6</f>
        <v>1018.22</v>
      </c>
      <c r="S10" s="32"/>
    </row>
    <row r="11" spans="1:19" x14ac:dyDescent="0.25">
      <c r="A11" s="34" t="s">
        <v>22</v>
      </c>
      <c r="B11" s="40">
        <v>2506.75</v>
      </c>
      <c r="C11" s="27">
        <f t="shared" ref="C11:C30" si="1">B11-F11-G11-H11</f>
        <v>0</v>
      </c>
      <c r="D11" s="4">
        <v>2100</v>
      </c>
      <c r="F11" s="41"/>
      <c r="G11" s="41"/>
      <c r="H11" s="37">
        <f t="shared" si="0"/>
        <v>2506.75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586.27</v>
      </c>
      <c r="C12" s="27">
        <f t="shared" si="1"/>
        <v>0</v>
      </c>
      <c r="D12" s="4">
        <v>2100</v>
      </c>
      <c r="F12" s="41"/>
      <c r="G12" s="41"/>
      <c r="H12" s="37">
        <f t="shared" si="0"/>
        <v>586.27</v>
      </c>
      <c r="I12" s="12">
        <v>1</v>
      </c>
      <c r="J12" s="13">
        <v>6570</v>
      </c>
      <c r="K12" s="32">
        <f>-H23+H51+H58</f>
        <v>404.23</v>
      </c>
      <c r="M12" s="5" t="s">
        <v>25</v>
      </c>
      <c r="P12" s="5">
        <v>1</v>
      </c>
      <c r="Q12" s="13">
        <v>6570</v>
      </c>
      <c r="R12" s="33">
        <f>+K12*R6</f>
        <v>202.11500000000001</v>
      </c>
      <c r="S12" s="32"/>
    </row>
    <row r="13" spans="1:19" x14ac:dyDescent="0.25">
      <c r="A13" s="34" t="s">
        <v>26</v>
      </c>
      <c r="B13" s="42">
        <v>3220.01</v>
      </c>
      <c r="C13" s="27">
        <f t="shared" si="1"/>
        <v>0</v>
      </c>
      <c r="D13" s="4">
        <v>2110</v>
      </c>
      <c r="F13" s="41"/>
      <c r="G13" s="41"/>
      <c r="H13" s="37">
        <f t="shared" si="0"/>
        <v>3220.01</v>
      </c>
      <c r="I13" s="12">
        <v>1</v>
      </c>
      <c r="J13" s="13">
        <v>6571</v>
      </c>
      <c r="K13" s="32">
        <f>ROUND(H55,2)</f>
        <v>683.76</v>
      </c>
      <c r="M13" s="43" t="s">
        <v>27</v>
      </c>
      <c r="P13" s="5">
        <v>1</v>
      </c>
      <c r="Q13" s="13">
        <v>6571</v>
      </c>
      <c r="R13" s="33">
        <f>+K13*$R$6</f>
        <v>341.88</v>
      </c>
      <c r="S13" s="32"/>
    </row>
    <row r="14" spans="1:19" x14ac:dyDescent="0.25">
      <c r="A14" s="34" t="s">
        <v>28</v>
      </c>
      <c r="B14" s="42">
        <v>1705.5</v>
      </c>
      <c r="C14" s="27">
        <f t="shared" si="1"/>
        <v>0</v>
      </c>
      <c r="D14" s="4">
        <v>2120</v>
      </c>
      <c r="F14" s="41"/>
      <c r="G14" s="41"/>
      <c r="H14" s="37">
        <f t="shared" si="0"/>
        <v>1705.5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24</v>
      </c>
      <c r="C15" s="27">
        <f t="shared" si="1"/>
        <v>0</v>
      </c>
      <c r="D15" s="4">
        <v>6580</v>
      </c>
      <c r="F15" s="44">
        <v>1.2</v>
      </c>
      <c r="G15" s="44">
        <v>7.2</v>
      </c>
      <c r="H15" s="37">
        <f t="shared" si="0"/>
        <v>15.600000000000001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>
        <f>SUM(R61:R66)</f>
        <v>0</v>
      </c>
    </row>
    <row r="16" spans="1:19" ht="18.75" thickBot="1" x14ac:dyDescent="0.3">
      <c r="A16" s="34" t="s">
        <v>33</v>
      </c>
      <c r="B16" s="51">
        <v>64.39</v>
      </c>
      <c r="C16" s="27">
        <f t="shared" si="1"/>
        <v>0</v>
      </c>
      <c r="D16" s="7">
        <v>2120</v>
      </c>
      <c r="F16" s="44">
        <v>3.77</v>
      </c>
      <c r="G16" s="44">
        <v>3.77</v>
      </c>
      <c r="H16" s="37">
        <f t="shared" si="0"/>
        <v>56.849999999999994</v>
      </c>
      <c r="I16" s="52">
        <v>1</v>
      </c>
      <c r="J16" s="10">
        <v>2120</v>
      </c>
      <c r="K16" s="21">
        <f>-H16</f>
        <v>-56.849999999999994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-28.424999999999997</v>
      </c>
      <c r="S16" s="32"/>
    </row>
    <row r="17" spans="1:26" x14ac:dyDescent="0.25">
      <c r="A17" s="34" t="s">
        <v>35</v>
      </c>
      <c r="B17" s="53">
        <v>24</v>
      </c>
      <c r="C17" s="27">
        <f t="shared" si="1"/>
        <v>0</v>
      </c>
      <c r="D17" s="54">
        <v>1830</v>
      </c>
      <c r="F17" s="41"/>
      <c r="G17" s="55"/>
      <c r="H17" s="37">
        <f t="shared" si="0"/>
        <v>24</v>
      </c>
      <c r="I17" s="12">
        <v>1</v>
      </c>
      <c r="J17" s="13">
        <v>1830</v>
      </c>
      <c r="K17" s="56">
        <f>ROUND(-H20-H27-H17-H18-H21-H26-H28,2)</f>
        <v>-845.02</v>
      </c>
      <c r="M17" s="5" t="s">
        <v>36</v>
      </c>
      <c r="P17" s="5">
        <v>1</v>
      </c>
      <c r="Q17" s="13">
        <v>1830</v>
      </c>
      <c r="R17" s="33">
        <f>+K17*$R$6</f>
        <v>-422.51</v>
      </c>
      <c r="S17" s="32"/>
    </row>
    <row r="18" spans="1:26" x14ac:dyDescent="0.25">
      <c r="A18" s="34" t="s">
        <v>37</v>
      </c>
      <c r="B18" s="57">
        <v>87.96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28.079999999999991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57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293.60000000000002</v>
      </c>
      <c r="M19" s="5" t="s">
        <v>40</v>
      </c>
      <c r="P19" s="5">
        <v>1</v>
      </c>
      <c r="Q19" s="13">
        <v>6300</v>
      </c>
      <c r="R19" s="33">
        <f>+K19*$R$6</f>
        <v>146.80000000000001</v>
      </c>
      <c r="S19" s="32"/>
    </row>
    <row r="20" spans="1:26" x14ac:dyDescent="0.25">
      <c r="A20" s="34" t="s">
        <v>41</v>
      </c>
      <c r="B20" s="57">
        <v>1432.85</v>
      </c>
      <c r="C20" s="27">
        <f t="shared" si="1"/>
        <v>0</v>
      </c>
      <c r="D20" s="4">
        <v>1830</v>
      </c>
      <c r="F20" s="41"/>
      <c r="G20" s="44">
        <v>808.87</v>
      </c>
      <c r="H20" s="37">
        <f t="shared" si="0"/>
        <v>623.9799999999999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  <c r="V20" s="5">
        <f>1432.85-1472.8</f>
        <v>-39.950000000000045</v>
      </c>
    </row>
    <row r="21" spans="1:26" x14ac:dyDescent="0.25">
      <c r="A21" s="34" t="s">
        <v>43</v>
      </c>
      <c r="B21" s="57">
        <v>174.96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48.960000000000008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57"/>
      <c r="C22" s="27">
        <f t="shared" si="1"/>
        <v>0</v>
      </c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57">
        <v>1818.4</v>
      </c>
      <c r="C23" s="27">
        <f t="shared" si="1"/>
        <v>0</v>
      </c>
      <c r="D23" s="4">
        <v>6570</v>
      </c>
      <c r="F23" s="44">
        <v>172.48</v>
      </c>
      <c r="G23" s="44">
        <v>619.1</v>
      </c>
      <c r="H23" s="37">
        <f t="shared" si="0"/>
        <v>1026.8200000000002</v>
      </c>
      <c r="I23" s="12"/>
      <c r="J23" s="13"/>
      <c r="K23" s="59">
        <f>SUM(K7:K22)</f>
        <v>26800.029999999992</v>
      </c>
      <c r="N23" s="1">
        <v>2040</v>
      </c>
      <c r="P23" s="5">
        <v>1</v>
      </c>
      <c r="Q23" s="13">
        <v>2040</v>
      </c>
      <c r="R23" s="60">
        <f>SUM(R7:R22)</f>
        <v>13400.014999999996</v>
      </c>
      <c r="S23" s="6"/>
      <c r="V23" s="32">
        <f>+B23-1938.59</f>
        <v>-120.18999999999983</v>
      </c>
    </row>
    <row r="24" spans="1:26" ht="18.75" thickTop="1" x14ac:dyDescent="0.25">
      <c r="A24" s="34" t="s">
        <v>48</v>
      </c>
      <c r="B24" s="57">
        <v>451.11</v>
      </c>
      <c r="C24" s="27">
        <f t="shared" si="1"/>
        <v>0</v>
      </c>
      <c r="F24" s="41"/>
      <c r="G24" s="44">
        <v>123.58</v>
      </c>
      <c r="H24" s="37">
        <f t="shared" si="0"/>
        <v>327.53000000000003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57">
        <v>132.69</v>
      </c>
      <c r="C25" s="27">
        <f t="shared" si="1"/>
        <v>0</v>
      </c>
      <c r="F25" s="44">
        <v>101.92</v>
      </c>
      <c r="G25" s="44"/>
      <c r="H25" s="37">
        <f t="shared" si="0"/>
        <v>30.769999999999996</v>
      </c>
      <c r="I25" s="61">
        <v>2</v>
      </c>
      <c r="J25" s="62"/>
      <c r="K25" s="32"/>
      <c r="Q25" s="62"/>
      <c r="R25" s="33"/>
      <c r="V25" s="32">
        <f>+B25-'06-28-2019'!B25</f>
        <v>-212.31</v>
      </c>
    </row>
    <row r="26" spans="1:26" x14ac:dyDescent="0.25">
      <c r="A26" s="34" t="s">
        <v>50</v>
      </c>
      <c r="B26" s="57">
        <v>63.17</v>
      </c>
      <c r="C26" s="27">
        <f t="shared" si="1"/>
        <v>0</v>
      </c>
      <c r="D26" s="54">
        <v>1830</v>
      </c>
      <c r="F26" s="41"/>
      <c r="G26" s="55"/>
      <c r="H26" s="37">
        <f t="shared" si="0"/>
        <v>63.17</v>
      </c>
      <c r="I26" s="12">
        <v>2</v>
      </c>
      <c r="J26" s="13">
        <v>6500</v>
      </c>
      <c r="K26" s="32">
        <f>G7+G31</f>
        <v>16429.54</v>
      </c>
      <c r="M26" s="5" t="s">
        <v>51</v>
      </c>
      <c r="O26" s="32"/>
      <c r="P26" s="5">
        <v>2</v>
      </c>
      <c r="Q26" s="13">
        <v>6500</v>
      </c>
      <c r="R26" s="33">
        <f>+K26*R6</f>
        <v>8214.77</v>
      </c>
      <c r="S26" s="32"/>
      <c r="X26" s="32"/>
    </row>
    <row r="27" spans="1:26" x14ac:dyDescent="0.25">
      <c r="A27" s="34" t="s">
        <v>52</v>
      </c>
      <c r="B27" s="57"/>
      <c r="C27" s="63">
        <f t="shared" si="1"/>
        <v>0</v>
      </c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64">
        <v>85.95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56.83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57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931.29</v>
      </c>
      <c r="M29" s="39" t="s">
        <v>21</v>
      </c>
      <c r="P29" s="5">
        <v>2</v>
      </c>
      <c r="Q29" s="13">
        <v>6580</v>
      </c>
      <c r="R29" s="33">
        <f>+K29*R6</f>
        <v>465.64499999999998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>
        <v>100</v>
      </c>
      <c r="C31" s="27">
        <f>B31-F31-G31-H31</f>
        <v>0</v>
      </c>
      <c r="D31" s="4">
        <v>6500</v>
      </c>
      <c r="F31" s="69"/>
      <c r="G31" s="70"/>
      <c r="H31" s="37">
        <f t="shared" si="0"/>
        <v>100</v>
      </c>
      <c r="I31" s="12">
        <v>2</v>
      </c>
      <c r="J31" s="13">
        <v>6570</v>
      </c>
      <c r="K31" s="32">
        <f>-$G$23+$G$51+$G$58</f>
        <v>202.12</v>
      </c>
      <c r="M31" s="5" t="s">
        <v>25</v>
      </c>
      <c r="P31" s="5">
        <v>2</v>
      </c>
      <c r="Q31" s="13">
        <v>6570</v>
      </c>
      <c r="R31" s="33">
        <f>+K31*$R$6</f>
        <v>101.06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</f>
        <v>33755</v>
      </c>
      <c r="C32" s="72">
        <f>B32-F32-G32-H32</f>
        <v>0</v>
      </c>
      <c r="D32" s="71"/>
      <c r="E32" s="71"/>
      <c r="F32" s="71">
        <f>F7+F8+F10-F11-F12-F13-F14-F15-F16-F19-F29-F20-F26-F25-F28-F17-F21-F18-F23-F22-F24+F30+F31</f>
        <v>3274.78</v>
      </c>
      <c r="G32" s="71">
        <f>G7+G8+G10-G11-G12-G13-G14-G15-G16-G19-G29-G20-G26-G25-G28-G17-G21-G18-G23-G22-G24+G30+G31</f>
        <v>15606.900000000003</v>
      </c>
      <c r="H32" s="71">
        <f>H7+H8+H10-H11-H12-H13-H14-H15-H16-H19-H29-H20-H26-H25-H28-H17-H21-H18-H23-H22-H24+H30+H31</f>
        <v>14873.32</v>
      </c>
      <c r="I32" s="12">
        <v>2</v>
      </c>
      <c r="J32" s="13">
        <v>6571</v>
      </c>
      <c r="K32" s="32">
        <f>G55</f>
        <v>368.93</v>
      </c>
      <c r="M32" s="43" t="s">
        <v>27</v>
      </c>
      <c r="P32" s="5">
        <v>2</v>
      </c>
      <c r="Q32" s="13">
        <v>6571</v>
      </c>
      <c r="R32" s="33">
        <f>+K32*$R$6</f>
        <v>184.465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>
        <f>SUM(R75:R81)</f>
        <v>0</v>
      </c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-3.77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-1.885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-1013.12</v>
      </c>
      <c r="M36" s="5" t="s">
        <v>36</v>
      </c>
      <c r="O36" s="1"/>
      <c r="P36" s="5">
        <v>2</v>
      </c>
      <c r="Q36" s="13">
        <v>1830</v>
      </c>
      <c r="R36" s="33">
        <f>+K36*$R$6</f>
        <v>-506.56</v>
      </c>
      <c r="S36" s="32"/>
    </row>
    <row r="37" spans="1:22" x14ac:dyDescent="0.25">
      <c r="A37" s="25" t="s">
        <v>66</v>
      </c>
      <c r="B37" s="80">
        <f>B11</f>
        <v>2506.75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2506.75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586.27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586.27</v>
      </c>
      <c r="I38" s="12">
        <v>2</v>
      </c>
      <c r="J38" s="13">
        <v>6300</v>
      </c>
      <c r="K38" s="84">
        <f>ROUND(G70,2)</f>
        <v>146.80000000000001</v>
      </c>
      <c r="M38" s="5" t="s">
        <v>40</v>
      </c>
      <c r="O38" s="1"/>
      <c r="P38" s="5">
        <v>2</v>
      </c>
      <c r="Q38" s="13">
        <v>6300</v>
      </c>
      <c r="R38" s="33">
        <f>+K38*$R$6</f>
        <v>73.400000000000006</v>
      </c>
      <c r="S38" s="32"/>
    </row>
    <row r="39" spans="1:22" x14ac:dyDescent="0.25">
      <c r="A39" s="34" t="s">
        <v>68</v>
      </c>
      <c r="B39" s="83">
        <f>B13</f>
        <v>3220.01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3220.01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1705.5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1705.5</v>
      </c>
      <c r="I40" s="85"/>
      <c r="J40" s="5">
        <v>2040</v>
      </c>
      <c r="K40" s="86">
        <f>SUM(K26:K39)</f>
        <v>17061.79</v>
      </c>
      <c r="N40" s="1">
        <v>2040</v>
      </c>
      <c r="O40" s="1"/>
      <c r="P40" s="5">
        <v>2</v>
      </c>
      <c r="Q40" s="5">
        <v>2040</v>
      </c>
      <c r="R40" s="86">
        <f>SUM(R26:R39)</f>
        <v>8530.8950000000004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2506.79</v>
      </c>
      <c r="C42" s="27">
        <f>B42-F42-G42-H42</f>
        <v>0</v>
      </c>
      <c r="D42" s="4">
        <v>6580</v>
      </c>
      <c r="F42" s="90">
        <v>146.44999999999999</v>
      </c>
      <c r="G42" s="90">
        <v>760.6</v>
      </c>
      <c r="H42" s="37">
        <f>B42-F42-G42</f>
        <v>1599.7400000000002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586.29</v>
      </c>
      <c r="C43" s="27">
        <f>B43-F43-G43-H43</f>
        <v>0</v>
      </c>
      <c r="D43" s="4">
        <v>6580</v>
      </c>
      <c r="F43" s="90">
        <v>34.25</v>
      </c>
      <c r="G43" s="90">
        <v>177.89</v>
      </c>
      <c r="H43" s="37">
        <f>B43-F43-G43</f>
        <v>374.15</v>
      </c>
      <c r="I43" s="12">
        <v>3</v>
      </c>
      <c r="J43" s="13">
        <v>6500</v>
      </c>
      <c r="K43" s="92">
        <f>F7+F31</f>
        <v>3564.9</v>
      </c>
      <c r="M43" s="5" t="s">
        <v>71</v>
      </c>
      <c r="O43" s="1"/>
      <c r="P43" s="5">
        <v>3</v>
      </c>
      <c r="Q43" s="13">
        <v>6500</v>
      </c>
      <c r="R43" s="33">
        <f>+K43*$R$6</f>
        <v>1782.45</v>
      </c>
      <c r="S43" s="32"/>
    </row>
    <row r="44" spans="1:22" x14ac:dyDescent="0.25">
      <c r="A44" s="34" t="s">
        <v>72</v>
      </c>
      <c r="B44" s="89">
        <v>11.69</v>
      </c>
      <c r="C44" s="27">
        <f>B44-F44-G44-H44</f>
        <v>0</v>
      </c>
      <c r="D44" s="4">
        <v>6580</v>
      </c>
      <c r="F44" s="90"/>
      <c r="G44" s="91"/>
      <c r="H44" s="37">
        <f>B44-G44-F44</f>
        <v>11.69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63.69</v>
      </c>
      <c r="C45" s="27">
        <f>B45-F45-G45-H45</f>
        <v>0</v>
      </c>
      <c r="D45" s="4">
        <v>6580</v>
      </c>
      <c r="F45" s="90"/>
      <c r="G45" s="94"/>
      <c r="H45" s="37">
        <f>B45-G45-F45</f>
        <v>63.69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2.77</v>
      </c>
      <c r="C46" s="27">
        <f>B46-F46-G46-H46</f>
        <v>0</v>
      </c>
      <c r="F46" s="96"/>
      <c r="G46" s="96"/>
      <c r="H46" s="37">
        <f>B46-G46-F46</f>
        <v>2.77</v>
      </c>
      <c r="I46" s="12">
        <v>3</v>
      </c>
      <c r="J46" s="13">
        <v>6580</v>
      </c>
      <c r="K46" s="32">
        <f>ROUND($F$42+$F$43+$F$44+$F$45-$F$15+$F$46,2)</f>
        <v>179.5</v>
      </c>
      <c r="M46" s="39" t="s">
        <v>21</v>
      </c>
      <c r="O46" s="1"/>
      <c r="P46" s="5">
        <v>3</v>
      </c>
      <c r="Q46" s="13">
        <v>6580</v>
      </c>
      <c r="R46" s="33">
        <f>+K46*$R$6</f>
        <v>89.75</v>
      </c>
      <c r="S46" s="32"/>
    </row>
    <row r="47" spans="1:22" ht="18.75" thickBot="1" x14ac:dyDescent="0.3">
      <c r="B47" s="97">
        <f>SUM(B42:B46)</f>
        <v>3171.23</v>
      </c>
      <c r="C47" s="27">
        <f>B48-F47-G47-H47</f>
        <v>0</v>
      </c>
      <c r="D47" s="7"/>
      <c r="E47" s="1"/>
      <c r="F47" s="97">
        <f>SUM(F37:F46)</f>
        <v>180.7</v>
      </c>
      <c r="G47" s="97">
        <f>SUM(G37:G46)</f>
        <v>938.49</v>
      </c>
      <c r="H47" s="71">
        <f>SUM(H37:H46)</f>
        <v>10070.570000000002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11189.760000000002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48.93</v>
      </c>
      <c r="M48" s="5" t="s">
        <v>40</v>
      </c>
      <c r="O48" s="1"/>
      <c r="P48" s="5">
        <v>3</v>
      </c>
      <c r="Q48" s="13">
        <v>6300</v>
      </c>
      <c r="R48" s="33">
        <f>+K48*$R$6</f>
        <v>24.465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-3.77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-1.885</v>
      </c>
      <c r="S50" s="32"/>
    </row>
    <row r="51" spans="1:23" x14ac:dyDescent="0.25">
      <c r="A51" s="25" t="s">
        <v>78</v>
      </c>
      <c r="B51" s="80">
        <f>B23</f>
        <v>1818.4</v>
      </c>
      <c r="C51" s="106"/>
      <c r="D51" s="28">
        <v>6570</v>
      </c>
      <c r="E51" s="29"/>
      <c r="F51" s="81">
        <f>F23</f>
        <v>172.48</v>
      </c>
      <c r="G51" s="107">
        <f>G23</f>
        <v>619.1</v>
      </c>
      <c r="H51" s="31">
        <f>B51-G51-F51</f>
        <v>1026.8200000000002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67.37</v>
      </c>
      <c r="M52" s="5" t="s">
        <v>25</v>
      </c>
      <c r="O52" s="1"/>
      <c r="P52" s="5">
        <v>3</v>
      </c>
      <c r="Q52" s="13">
        <v>6570</v>
      </c>
      <c r="R52" s="33">
        <f>+K52</f>
        <v>67.37</v>
      </c>
      <c r="S52" s="32"/>
    </row>
    <row r="53" spans="1:23" x14ac:dyDescent="0.25">
      <c r="A53" s="34" t="s">
        <v>60</v>
      </c>
      <c r="B53" s="108">
        <f>SUM(B51:B52)</f>
        <v>1818.4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1151.25</v>
      </c>
      <c r="C55" s="111"/>
      <c r="D55" s="4">
        <v>6571</v>
      </c>
      <c r="F55" s="90">
        <v>98.56</v>
      </c>
      <c r="G55" s="90">
        <v>368.93</v>
      </c>
      <c r="H55" s="37">
        <f>B55-F55-G55</f>
        <v>683.76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114.05</v>
      </c>
      <c r="C56" s="111"/>
      <c r="D56" s="4">
        <v>6571</v>
      </c>
      <c r="F56" s="93"/>
      <c r="G56" s="93"/>
      <c r="H56" s="37">
        <f>B56-F56-G56</f>
        <v>114.05</v>
      </c>
      <c r="I56" s="12"/>
      <c r="J56" s="13"/>
      <c r="K56" s="86">
        <f>SUM(K43:K55)</f>
        <v>3944.74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2060.71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673.72</v>
      </c>
      <c r="C58" s="111"/>
      <c r="D58" s="4">
        <v>6570</v>
      </c>
      <c r="F58" s="88">
        <f>ROUND(B58*10%,2)</f>
        <v>67.37</v>
      </c>
      <c r="G58" s="88">
        <f>ROUND(B58*30%,2)</f>
        <v>202.12</v>
      </c>
      <c r="H58" s="37">
        <f>ROUND(B58-F58-G58,2)</f>
        <v>404.23</v>
      </c>
      <c r="I58" s="52">
        <v>1</v>
      </c>
      <c r="J58" s="10">
        <v>1012</v>
      </c>
      <c r="K58" s="113">
        <f>-(K23+K40+K56+K74+K84+K90)-K59</f>
        <v>-49661.259999999987</v>
      </c>
      <c r="M58" s="1"/>
      <c r="N58" s="32">
        <f>+'[8]1012-CNB Checking'!$F$57</f>
        <v>49661.26</v>
      </c>
      <c r="O58" s="114">
        <f>+K58+N58+K59</f>
        <v>1.4551915228366852E-11</v>
      </c>
      <c r="P58" s="32"/>
      <c r="R58" s="33"/>
    </row>
    <row r="59" spans="1:23" ht="18.75" thickTop="1" x14ac:dyDescent="0.25">
      <c r="A59" s="34" t="s">
        <v>48</v>
      </c>
      <c r="B59" s="83">
        <f>B24</f>
        <v>451.11</v>
      </c>
      <c r="C59" s="27"/>
      <c r="F59" s="88">
        <f>F24</f>
        <v>0</v>
      </c>
      <c r="G59" s="88">
        <f>G24</f>
        <v>123.58</v>
      </c>
      <c r="H59" s="37">
        <f>B59-F59-G59</f>
        <v>327.53000000000003</v>
      </c>
      <c r="I59" s="52">
        <v>1</v>
      </c>
      <c r="J59" s="10">
        <v>1012</v>
      </c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132.69</v>
      </c>
      <c r="C60" s="27"/>
      <c r="F60" s="88">
        <f>F25</f>
        <v>101.92</v>
      </c>
      <c r="G60" s="88">
        <f>G25</f>
        <v>0</v>
      </c>
      <c r="H60" s="37">
        <f>B60-F60-G60</f>
        <v>30.769999999999996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4227.17</v>
      </c>
      <c r="C61" s="117"/>
      <c r="D61" s="7"/>
      <c r="E61" s="1"/>
      <c r="F61" s="71">
        <f>F51+F55</f>
        <v>271.03999999999996</v>
      </c>
      <c r="G61" s="71">
        <f>G51+G55</f>
        <v>988.03</v>
      </c>
      <c r="H61" s="118">
        <f>B61-G61</f>
        <v>3239.1400000000003</v>
      </c>
      <c r="I61" s="115">
        <v>1</v>
      </c>
      <c r="J61" s="119">
        <v>1831</v>
      </c>
      <c r="K61" s="120">
        <v>255</v>
      </c>
      <c r="M61" s="5" t="s">
        <v>42</v>
      </c>
      <c r="O61" s="121"/>
      <c r="P61" s="115">
        <v>1</v>
      </c>
      <c r="Q61" s="119">
        <v>1831</v>
      </c>
      <c r="R61" s="16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/>
      <c r="M62" s="5" t="s">
        <v>132</v>
      </c>
      <c r="O62" s="1"/>
      <c r="P62" s="115">
        <v>1</v>
      </c>
      <c r="Q62" s="5">
        <v>6565</v>
      </c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85">
        <v>1</v>
      </c>
      <c r="Q63" s="5">
        <v>1831</v>
      </c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>
        <v>1</v>
      </c>
      <c r="Q64" s="5">
        <v>6630</v>
      </c>
      <c r="R64" s="16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/>
      <c r="M65" s="5" t="s">
        <v>90</v>
      </c>
      <c r="O65" s="1"/>
      <c r="P65" s="85">
        <v>1</v>
      </c>
      <c r="Q65" s="5">
        <v>6630</v>
      </c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1307-K79+21.54</f>
        <v>655.56999999999994</v>
      </c>
      <c r="M66" s="5" t="s">
        <v>133</v>
      </c>
      <c r="O66" s="1"/>
      <c r="P66" s="85">
        <v>1</v>
      </c>
      <c r="Q66" s="5">
        <v>6551</v>
      </c>
      <c r="R66" s="16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>
        <v>1</v>
      </c>
      <c r="Q67" s="5">
        <v>6012</v>
      </c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>
        <v>489.33</v>
      </c>
      <c r="C70" s="106"/>
      <c r="D70" s="28">
        <v>6300</v>
      </c>
      <c r="E70" s="29"/>
      <c r="F70" s="81">
        <f>B70*F69</f>
        <v>48.933</v>
      </c>
      <c r="G70" s="107">
        <f>B70*G69</f>
        <v>146.79899999999998</v>
      </c>
      <c r="H70" s="31">
        <f>B70*H69-0</f>
        <v>293.59799999999996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48.933</v>
      </c>
      <c r="G71" s="71">
        <f>G70</f>
        <v>146.79899999999998</v>
      </c>
      <c r="H71" s="118">
        <f>H70</f>
        <v>293.59799999999996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49171.93</v>
      </c>
      <c r="F74" s="6"/>
      <c r="I74" s="85" t="s">
        <v>97</v>
      </c>
      <c r="K74" s="129">
        <f>SUM(K61:K73)</f>
        <v>910.56999999999994</v>
      </c>
      <c r="O74" s="1"/>
      <c r="R74" s="162"/>
    </row>
    <row r="75" spans="1:20" ht="18.75" thickBot="1" x14ac:dyDescent="0.3">
      <c r="F75" s="6"/>
      <c r="I75" s="85">
        <v>2</v>
      </c>
      <c r="J75" s="167">
        <v>6565</v>
      </c>
      <c r="K75" s="120">
        <v>89.62</v>
      </c>
      <c r="M75" s="5" t="s">
        <v>132</v>
      </c>
      <c r="O75" s="1"/>
      <c r="P75" s="85">
        <v>2</v>
      </c>
      <c r="Q75" s="119" t="s">
        <v>107</v>
      </c>
      <c r="R75" s="163"/>
      <c r="S75" s="32"/>
    </row>
    <row r="76" spans="1:20" x14ac:dyDescent="0.25">
      <c r="A76" s="129" t="s">
        <v>99</v>
      </c>
      <c r="B76" s="26">
        <v>31334.68</v>
      </c>
      <c r="C76" s="130"/>
      <c r="D76" s="131" t="s">
        <v>100</v>
      </c>
      <c r="E76" s="6"/>
      <c r="F76" s="6"/>
      <c r="G76" s="132"/>
      <c r="H76" s="6"/>
      <c r="I76" s="85">
        <v>2</v>
      </c>
      <c r="J76" s="119">
        <v>1831</v>
      </c>
      <c r="K76" s="120">
        <v>170</v>
      </c>
      <c r="M76" s="5" t="s">
        <v>42</v>
      </c>
      <c r="O76" s="1"/>
      <c r="P76" s="85">
        <v>2</v>
      </c>
      <c r="Q76" s="119">
        <v>1831</v>
      </c>
      <c r="R76" s="16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>
        <v>2</v>
      </c>
      <c r="Q77" s="5">
        <v>6630</v>
      </c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85">
        <v>2</v>
      </c>
      <c r="Q78" s="5">
        <v>6630</v>
      </c>
      <c r="R78" s="163"/>
      <c r="S78" s="32"/>
    </row>
    <row r="79" spans="1:20" ht="18.75" thickBot="1" x14ac:dyDescent="0.3">
      <c r="A79" s="134" t="s">
        <v>104</v>
      </c>
      <c r="B79" s="135">
        <f>ROUND(SUM(B76:B78),2)</f>
        <v>31334.68</v>
      </c>
      <c r="C79" s="130"/>
      <c r="D79" s="131"/>
      <c r="E79" s="6"/>
      <c r="F79" s="6"/>
      <c r="G79" s="129">
        <f>SUM(G76:G78)</f>
        <v>0</v>
      </c>
      <c r="H79" s="6" t="s">
        <v>105</v>
      </c>
      <c r="I79" s="85">
        <v>2</v>
      </c>
      <c r="J79" s="5">
        <v>6551</v>
      </c>
      <c r="K79" s="120">
        <v>672.97</v>
      </c>
      <c r="M79" s="5" t="s">
        <v>91</v>
      </c>
      <c r="O79" s="1"/>
      <c r="P79" s="85">
        <v>2</v>
      </c>
      <c r="Q79" s="5">
        <v>6551</v>
      </c>
      <c r="R79" s="163"/>
      <c r="S79" s="32"/>
    </row>
    <row r="80" spans="1:20" ht="18.75" thickBot="1" x14ac:dyDescent="0.3">
      <c r="A80" s="1" t="s">
        <v>106</v>
      </c>
      <c r="B80" s="26">
        <v>46865.66</v>
      </c>
      <c r="H80" s="128" t="str">
        <f>IF(B79-G79=0,"ok","NO")</f>
        <v>NO</v>
      </c>
      <c r="I80" s="85">
        <v>2</v>
      </c>
      <c r="J80" s="5">
        <v>6040</v>
      </c>
      <c r="K80" s="120"/>
      <c r="M80" s="5" t="s">
        <v>131</v>
      </c>
      <c r="O80" s="1"/>
      <c r="P80" s="85">
        <v>2</v>
      </c>
      <c r="Q80" s="5">
        <v>6040</v>
      </c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-31334.68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162"/>
      <c r="S81" s="32"/>
    </row>
    <row r="82" spans="1:19" ht="18.75" thickBot="1" x14ac:dyDescent="0.3">
      <c r="B82" s="3">
        <f>+B80+B81</f>
        <v>46865.66</v>
      </c>
      <c r="C82" s="128" t="str">
        <f>IF(B74=B82,"ok","NO")</f>
        <v>NO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-2306.2699999999968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944.13000000000011</v>
      </c>
      <c r="O84" s="1"/>
      <c r="P84" s="5">
        <v>3</v>
      </c>
      <c r="Q84" s="5">
        <v>6551</v>
      </c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164"/>
      <c r="S85" s="32"/>
    </row>
    <row r="86" spans="1:19" s="33" customFormat="1" x14ac:dyDescent="0.25">
      <c r="A86" s="5"/>
      <c r="B86" s="32">
        <f>+B83+O58</f>
        <v>-2306.2699999999822</v>
      </c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132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1854.7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7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AF71-89FF-4DAB-B446-73B9C3EEBE8A}">
  <sheetPr>
    <tabColor rgb="FF00B0F0"/>
    <pageSetUpPr fitToPage="1"/>
  </sheetPr>
  <dimension ref="A2:Y100"/>
  <sheetViews>
    <sheetView topLeftCell="A31" zoomScale="70" zoomScaleNormal="70" zoomScalePageLayoutView="70" workbookViewId="0">
      <selection activeCell="I7" sqref="I7:K56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2.8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32" width="10.5" style="5"/>
    <col min="33" max="33" width="19.75" style="5" bestFit="1" customWidth="1"/>
    <col min="34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43669</v>
      </c>
      <c r="K2" s="9"/>
      <c r="M2" s="5" t="s">
        <v>1</v>
      </c>
    </row>
    <row r="3" spans="1:24" ht="18.75" thickBot="1" x14ac:dyDescent="0.3">
      <c r="A3" s="10" t="s">
        <v>2</v>
      </c>
      <c r="B3" s="8">
        <v>43646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B6" s="74"/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>
        <f>621.99+300</f>
        <v>921.99</v>
      </c>
      <c r="C7" s="27"/>
      <c r="D7" s="28"/>
      <c r="E7" s="29"/>
      <c r="F7" s="30">
        <v>100</v>
      </c>
      <c r="G7" s="146">
        <v>483.99</v>
      </c>
      <c r="H7" s="37">
        <f t="shared" ref="H7:H32" si="0">B7-F7-G7</f>
        <v>338</v>
      </c>
      <c r="I7" s="12">
        <v>1</v>
      </c>
      <c r="J7" s="13">
        <v>6510</v>
      </c>
      <c r="K7" s="32">
        <f>+H7</f>
        <v>338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>
        <v>4530.5600000000004</v>
      </c>
      <c r="C8" s="27"/>
      <c r="F8" s="127"/>
      <c r="G8" s="36">
        <v>1234.6500000000001</v>
      </c>
      <c r="H8" s="37">
        <f t="shared" si="0"/>
        <v>3295.9100000000003</v>
      </c>
      <c r="I8" s="12">
        <v>1</v>
      </c>
      <c r="J8" s="13">
        <v>6505</v>
      </c>
      <c r="K8" s="32">
        <f>+H8</f>
        <v>3295.9100000000003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/>
      <c r="C9" s="27"/>
      <c r="D9" s="4">
        <v>6500</v>
      </c>
      <c r="F9" s="127"/>
      <c r="G9" s="36"/>
      <c r="H9" s="37">
        <f t="shared" si="0"/>
        <v>0</v>
      </c>
      <c r="I9" s="12">
        <v>1</v>
      </c>
      <c r="J9" s="13">
        <v>6500</v>
      </c>
      <c r="K9" s="32">
        <f>+H9</f>
        <v>0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27"/>
      <c r="F10" s="148"/>
      <c r="G10" s="148"/>
      <c r="H10" s="37">
        <f t="shared" si="0"/>
        <v>0</v>
      </c>
      <c r="I10" s="12">
        <v>1</v>
      </c>
      <c r="J10" s="13">
        <v>6580</v>
      </c>
      <c r="K10" s="32">
        <f>ROUND(H43+H44+H45+H46-H16+H47,2)</f>
        <v>278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27"/>
      <c r="F11" s="150"/>
      <c r="G11" s="150"/>
      <c r="H11" s="37">
        <f t="shared" si="0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338.07</v>
      </c>
      <c r="C12" s="27"/>
      <c r="F12" s="41"/>
      <c r="G12" s="41"/>
      <c r="H12" s="37">
        <f>B12-F12-G12</f>
        <v>338.07</v>
      </c>
      <c r="I12" s="12">
        <v>1</v>
      </c>
      <c r="J12" s="13">
        <v>6570</v>
      </c>
      <c r="K12" s="32">
        <f>-H24+H52+H59</f>
        <v>43.859775169416139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79.06</v>
      </c>
      <c r="C13" s="27"/>
      <c r="F13" s="41"/>
      <c r="G13" s="41"/>
      <c r="H13" s="37">
        <f t="shared" si="0"/>
        <v>79.06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>
        <v>21.37</v>
      </c>
      <c r="C14" s="27"/>
      <c r="F14" s="41"/>
      <c r="G14" s="41"/>
      <c r="H14" s="37">
        <f t="shared" si="0"/>
        <v>21.37</v>
      </c>
      <c r="I14" s="12">
        <v>1</v>
      </c>
      <c r="J14" s="13">
        <v>6571</v>
      </c>
      <c r="K14" s="32">
        <f>+H56</f>
        <v>197.7</v>
      </c>
      <c r="L14" s="145"/>
      <c r="M14" s="5" t="s">
        <v>61</v>
      </c>
      <c r="P14" s="1"/>
    </row>
    <row r="15" spans="1:24" x14ac:dyDescent="0.25">
      <c r="A15" s="34" t="s">
        <v>28</v>
      </c>
      <c r="B15" s="151">
        <v>24.69</v>
      </c>
      <c r="C15" s="27"/>
      <c r="F15" s="41"/>
      <c r="G15" s="41"/>
      <c r="H15" s="37">
        <f t="shared" si="0"/>
        <v>24.69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>
        <v>1.2</v>
      </c>
      <c r="C16" s="27"/>
      <c r="F16" s="152"/>
      <c r="G16" s="44">
        <v>1.2</v>
      </c>
      <c r="H16" s="37">
        <f t="shared" si="0"/>
        <v>0</v>
      </c>
      <c r="I16" s="52">
        <v>1</v>
      </c>
      <c r="J16" s="10">
        <v>2120</v>
      </c>
      <c r="K16" s="21">
        <f>-H17</f>
        <v>-5.55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1">SUM(R7:R15)</f>
        <v>779.02</v>
      </c>
      <c r="S16" s="154">
        <f t="shared" si="1"/>
        <v>944.95</v>
      </c>
      <c r="T16" s="154">
        <f t="shared" si="1"/>
        <v>348.52</v>
      </c>
      <c r="U16" s="154">
        <f t="shared" si="1"/>
        <v>1512.56</v>
      </c>
      <c r="V16" s="154">
        <f t="shared" si="1"/>
        <v>670.31999999999994</v>
      </c>
      <c r="W16" s="154">
        <f t="shared" si="1"/>
        <v>4475.92</v>
      </c>
      <c r="X16" s="154">
        <f t="shared" si="1"/>
        <v>1797.86</v>
      </c>
    </row>
    <row r="17" spans="1:25" ht="19.5" thickTop="1" thickBot="1" x14ac:dyDescent="0.3">
      <c r="A17" s="34" t="s">
        <v>33</v>
      </c>
      <c r="B17" s="151">
        <v>8.33</v>
      </c>
      <c r="C17" s="27"/>
      <c r="F17" s="152">
        <v>0.15</v>
      </c>
      <c r="G17" s="44">
        <v>2.63</v>
      </c>
      <c r="H17" s="37">
        <f t="shared" si="0"/>
        <v>5.55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27"/>
      <c r="D18" s="54"/>
      <c r="E18" s="5"/>
      <c r="F18" s="41"/>
      <c r="G18" s="55"/>
      <c r="H18" s="37">
        <f t="shared" si="0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27"/>
      <c r="D19" s="54"/>
      <c r="E19" s="5"/>
      <c r="F19" s="41"/>
      <c r="G19" s="44"/>
      <c r="H19" s="37">
        <f t="shared" si="0"/>
        <v>0</v>
      </c>
      <c r="I19" s="12">
        <v>1</v>
      </c>
      <c r="J19" s="13">
        <v>6300</v>
      </c>
      <c r="K19" s="82">
        <f>ROUND(H72,2)</f>
        <v>0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27"/>
      <c r="D20" s="4"/>
      <c r="E20" s="5"/>
      <c r="F20" s="41"/>
      <c r="G20" s="55"/>
      <c r="H20" s="37">
        <f t="shared" si="0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27"/>
      <c r="D21" s="4"/>
      <c r="E21" s="5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27"/>
      <c r="D22" s="54"/>
      <c r="E22" s="5"/>
      <c r="F22" s="41"/>
      <c r="G22" s="44"/>
      <c r="H22" s="37">
        <f t="shared" si="0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27"/>
      <c r="D23" s="4"/>
      <c r="E23" s="5"/>
      <c r="F23" s="41"/>
      <c r="G23" s="55"/>
      <c r="H23" s="37">
        <f t="shared" si="0"/>
        <v>0</v>
      </c>
      <c r="I23" s="12"/>
      <c r="J23" s="13"/>
      <c r="K23" s="59">
        <f>SUM(K7:K22)</f>
        <v>4147.9197751694164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>
        <v>249.3</v>
      </c>
      <c r="C24" s="27"/>
      <c r="D24" s="4"/>
      <c r="E24" s="5"/>
      <c r="F24" s="152">
        <v>7</v>
      </c>
      <c r="G24" s="44">
        <v>85.4</v>
      </c>
      <c r="H24" s="37">
        <f t="shared" si="0"/>
        <v>156.9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27"/>
      <c r="D25" s="4"/>
      <c r="E25" s="5"/>
      <c r="F25" s="41"/>
      <c r="G25" s="44"/>
      <c r="H25" s="37">
        <f t="shared" si="0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27"/>
      <c r="D26" s="4"/>
      <c r="E26" s="5"/>
      <c r="F26" s="44"/>
      <c r="G26" s="44"/>
      <c r="H26" s="37">
        <f t="shared" si="0"/>
        <v>0</v>
      </c>
      <c r="I26" s="12">
        <v>2</v>
      </c>
      <c r="J26" s="13">
        <v>6510</v>
      </c>
      <c r="K26" s="32">
        <f>+G7</f>
        <v>483.99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27"/>
      <c r="D27" s="54"/>
      <c r="E27" s="5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1234.6500000000001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63"/>
      <c r="D28" s="4"/>
      <c r="E28" s="5"/>
      <c r="F28" s="41"/>
      <c r="G28" s="55"/>
      <c r="H28" s="37">
        <f t="shared" si="0"/>
        <v>0</v>
      </c>
      <c r="I28" s="12">
        <v>2</v>
      </c>
      <c r="J28" s="13">
        <v>6500</v>
      </c>
      <c r="K28" s="32">
        <f>+G9</f>
        <v>0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27"/>
      <c r="D29" s="54"/>
      <c r="E29" s="5"/>
      <c r="F29" s="41"/>
      <c r="G29" s="44"/>
      <c r="H29" s="37">
        <f t="shared" si="0"/>
        <v>0</v>
      </c>
      <c r="I29" s="12">
        <v>2</v>
      </c>
      <c r="J29" s="13">
        <v>6580</v>
      </c>
      <c r="K29" s="32">
        <f>-G16+G43+G44+G45+G46+G47</f>
        <v>130.26999999999998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65"/>
      <c r="D30" s="54"/>
      <c r="E30" s="5"/>
      <c r="F30" s="66"/>
      <c r="G30" s="67"/>
      <c r="H30" s="37">
        <f t="shared" si="0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27"/>
      <c r="D31" s="4"/>
      <c r="E31" s="5"/>
      <c r="F31" s="68"/>
      <c r="G31" s="67"/>
      <c r="H31" s="37">
        <f t="shared" si="0"/>
        <v>0</v>
      </c>
      <c r="I31" s="12">
        <v>2</v>
      </c>
      <c r="J31" s="13">
        <v>6570</v>
      </c>
      <c r="K31" s="32">
        <f>-G24+G52+G59</f>
        <v>20.743266618371219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27">
        <f t="shared" ref="C32" si="2">B32-F32-G32-H32</f>
        <v>0</v>
      </c>
      <c r="D32" s="4">
        <v>6500</v>
      </c>
      <c r="E32" s="5"/>
      <c r="F32" s="69"/>
      <c r="G32" s="70"/>
      <c r="H32" s="37">
        <f t="shared" si="0"/>
        <v>0</v>
      </c>
      <c r="I32" s="12">
        <v>2</v>
      </c>
      <c r="J32" s="13">
        <v>6571</v>
      </c>
      <c r="K32" s="32">
        <f>G56</f>
        <v>0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4730.5300000000007</v>
      </c>
      <c r="C33" s="72">
        <f>B33-F33-G33-H33</f>
        <v>-8.3299999999994725</v>
      </c>
      <c r="D33" s="71"/>
      <c r="E33" s="71"/>
      <c r="F33" s="71">
        <f>F7+F8+F10+F11-F12-F13-F14-F15-F16-F30-F21-F27-F26-F29-F18-F22-F19-F24-F23-F25+F31+F32</f>
        <v>93</v>
      </c>
      <c r="G33" s="71">
        <f>G7+G8+G10+G11-G12-G13-G14-G15-G16-G30-G21-G27-G26-G29-G18-G22-G19-G24-G23-G25+G31+G32</f>
        <v>1632.04</v>
      </c>
      <c r="H33" s="71">
        <f>H7+H8+H10+H11-H12-H13-H14-H15-H16-H30-H21-H27-H26-H29-H18-H22-H19-H24-H23-H25+H31+H32-H20-H28</f>
        <v>3013.82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-2.63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338.07</v>
      </c>
      <c r="C38" s="27">
        <f>B38-F38-G38-H38</f>
        <v>0</v>
      </c>
      <c r="D38" s="28">
        <v>2100</v>
      </c>
      <c r="E38" s="29"/>
      <c r="F38" s="81">
        <v>0</v>
      </c>
      <c r="G38" s="80">
        <v>0</v>
      </c>
      <c r="H38" s="31">
        <f>B38-G38-F38</f>
        <v>338.07</v>
      </c>
      <c r="I38" s="12">
        <v>2</v>
      </c>
      <c r="J38" s="13">
        <v>6300</v>
      </c>
      <c r="K38" s="84">
        <f>ROUND(G72,2)</f>
        <v>0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79.06</v>
      </c>
      <c r="C39" s="27">
        <f>B39-F39-G39-H39</f>
        <v>0</v>
      </c>
      <c r="D39" s="4">
        <v>2100</v>
      </c>
      <c r="E39" s="5"/>
      <c r="F39" s="6">
        <v>0</v>
      </c>
      <c r="G39" s="83">
        <v>0</v>
      </c>
      <c r="H39" s="37">
        <f>B39-G39-F39</f>
        <v>79.06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21.37</v>
      </c>
      <c r="C40" s="27">
        <f>B40-F40-G40-H40</f>
        <v>0</v>
      </c>
      <c r="D40" s="4">
        <v>2110</v>
      </c>
      <c r="E40" s="5"/>
      <c r="F40" s="6">
        <v>0</v>
      </c>
      <c r="G40" s="83">
        <v>0</v>
      </c>
      <c r="H40" s="37">
        <f>B40-G40-F40</f>
        <v>21.37</v>
      </c>
      <c r="I40" s="85"/>
      <c r="J40" s="5"/>
      <c r="K40" s="86">
        <f>SUM(K26:K39)</f>
        <v>1867.0232666183713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24.69</v>
      </c>
      <c r="C41" s="27">
        <f>B41-F41-G41-H41</f>
        <v>0</v>
      </c>
      <c r="D41" s="4">
        <v>2120</v>
      </c>
      <c r="E41" s="5"/>
      <c r="F41" s="6">
        <v>0</v>
      </c>
      <c r="G41" s="83">
        <v>0</v>
      </c>
      <c r="H41" s="37">
        <f>B41-G41-F41</f>
        <v>24.69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338.05</v>
      </c>
      <c r="C43" s="27">
        <f>B43-F43-G43-H43</f>
        <v>0</v>
      </c>
      <c r="D43" s="4">
        <v>6580</v>
      </c>
      <c r="E43" s="5"/>
      <c r="F43" s="152">
        <v>6.2</v>
      </c>
      <c r="G43" s="152">
        <v>106.55</v>
      </c>
      <c r="H43" s="37">
        <f>B43-F43-G43</f>
        <v>225.3</v>
      </c>
      <c r="I43" s="12">
        <v>3</v>
      </c>
      <c r="J43" s="13">
        <v>6510</v>
      </c>
      <c r="K43" s="92">
        <f>+F7</f>
        <v>100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79.069999999999993</v>
      </c>
      <c r="C44" s="27">
        <f>B44-F44-G44-H44</f>
        <v>0</v>
      </c>
      <c r="D44" s="4">
        <v>6580</v>
      </c>
      <c r="E44" s="5"/>
      <c r="F44" s="152">
        <v>1.45</v>
      </c>
      <c r="G44" s="152">
        <v>24.92</v>
      </c>
      <c r="H44" s="37">
        <f>B44-F44-G44</f>
        <v>52.699999999999989</v>
      </c>
      <c r="I44" s="12">
        <v>3</v>
      </c>
      <c r="J44" s="13">
        <v>6505</v>
      </c>
      <c r="K44" s="92">
        <f>+F8</f>
        <v>0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/>
      <c r="C45" s="27">
        <f>B45-F45-G45-H45</f>
        <v>0</v>
      </c>
      <c r="D45" s="4">
        <v>6580</v>
      </c>
      <c r="E45" s="5"/>
      <c r="F45" s="90"/>
      <c r="G45" s="91"/>
      <c r="H45" s="37">
        <f>B45-G45-F45</f>
        <v>0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/>
      <c r="C46" s="27">
        <f>B46-F46-G46-H46</f>
        <v>0</v>
      </c>
      <c r="D46" s="4">
        <v>6580</v>
      </c>
      <c r="E46" s="5"/>
      <c r="F46" s="93"/>
      <c r="G46" s="94"/>
      <c r="H46" s="37">
        <f>B46-G46-F46</f>
        <v>0</v>
      </c>
      <c r="I46" s="12">
        <v>3</v>
      </c>
      <c r="J46" s="13">
        <v>6580</v>
      </c>
      <c r="K46" s="92">
        <f>-F16+F43+F44+F45+F46+F47</f>
        <v>7.65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/>
      <c r="C47" s="27">
        <f>B47-F47-G47-H47</f>
        <v>0</v>
      </c>
      <c r="D47" s="4"/>
      <c r="E47" s="5"/>
      <c r="F47" s="95"/>
      <c r="G47" s="96"/>
      <c r="H47" s="37">
        <f>B47-G47-F47</f>
        <v>0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417.12</v>
      </c>
      <c r="C48" s="27">
        <f>B49-F48-G48-H48</f>
        <v>0</v>
      </c>
      <c r="D48" s="7"/>
      <c r="E48" s="1"/>
      <c r="F48" s="97">
        <f>SUM(F38:F47)</f>
        <v>7.65</v>
      </c>
      <c r="G48" s="97">
        <f>SUM(G38:G47)</f>
        <v>131.47</v>
      </c>
      <c r="H48" s="71">
        <f>SUM(H38:H47)</f>
        <v>741.19</v>
      </c>
      <c r="I48" s="12">
        <v>3</v>
      </c>
      <c r="J48" s="13">
        <v>6300</v>
      </c>
      <c r="K48" s="92">
        <f>ROUND(F72,2)</f>
        <v>0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5" s="33" customFormat="1" ht="19.5" thickTop="1" thickBot="1" x14ac:dyDescent="0.3">
      <c r="A49" s="34" t="s">
        <v>60</v>
      </c>
      <c r="B49" s="98">
        <f>SUM(B38:B47)</f>
        <v>880.31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5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-0.15</v>
      </c>
      <c r="L50" s="1"/>
      <c r="M50" s="1" t="s">
        <v>34</v>
      </c>
      <c r="N50" s="1"/>
      <c r="O50" s="1"/>
      <c r="P50" s="1"/>
    </row>
    <row r="51" spans="1:25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5" x14ac:dyDescent="0.25">
      <c r="A52" s="25" t="s">
        <v>78</v>
      </c>
      <c r="B52" s="80">
        <f>B24</f>
        <v>249.3</v>
      </c>
      <c r="C52" s="106"/>
      <c r="D52" s="28">
        <v>6570</v>
      </c>
      <c r="E52" s="29"/>
      <c r="F52" s="81">
        <f>F24</f>
        <v>7</v>
      </c>
      <c r="G52" s="107">
        <f>G24</f>
        <v>85.4</v>
      </c>
      <c r="H52" s="31">
        <f>B52-G52-F52</f>
        <v>156.9</v>
      </c>
      <c r="I52" s="12">
        <v>3</v>
      </c>
      <c r="J52" s="13">
        <v>6570</v>
      </c>
      <c r="K52" s="92">
        <f>F59</f>
        <v>1.2069582122126346</v>
      </c>
      <c r="M52" s="5" t="s">
        <v>25</v>
      </c>
      <c r="O52" s="1"/>
      <c r="P52" s="1"/>
    </row>
    <row r="53" spans="1:25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0</v>
      </c>
      <c r="M53" s="5" t="s">
        <v>27</v>
      </c>
      <c r="O53" s="1"/>
      <c r="P53" s="1"/>
    </row>
    <row r="54" spans="1:25" x14ac:dyDescent="0.25">
      <c r="A54" s="34" t="s">
        <v>60</v>
      </c>
      <c r="B54" s="108">
        <f>SUM(B52:B53)</f>
        <v>249.3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5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5" ht="18.75" thickBot="1" x14ac:dyDescent="0.3">
      <c r="A56" s="34" t="s">
        <v>80</v>
      </c>
      <c r="B56" s="110">
        <v>197.7</v>
      </c>
      <c r="C56" s="111"/>
      <c r="D56" s="4">
        <v>6571</v>
      </c>
      <c r="F56" s="152"/>
      <c r="G56" s="44"/>
      <c r="H56" s="37">
        <f>B56-F56-G56</f>
        <v>197.7</v>
      </c>
      <c r="I56" s="12"/>
      <c r="J56" s="13"/>
      <c r="K56" s="86">
        <f>SUM(K43:K55)</f>
        <v>108.70695821221264</v>
      </c>
      <c r="L56" s="1"/>
      <c r="N56" s="1">
        <v>2040</v>
      </c>
      <c r="O56" s="1"/>
      <c r="P56" s="1"/>
      <c r="Q56" s="33">
        <f>+O58+K58</f>
        <v>0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5" ht="18.75" thickTop="1" x14ac:dyDescent="0.25">
      <c r="A57" s="34" t="s">
        <v>61</v>
      </c>
      <c r="B57" s="112">
        <v>63.9</v>
      </c>
      <c r="C57" s="111"/>
      <c r="D57" s="4">
        <v>6571</v>
      </c>
      <c r="F57" s="93"/>
      <c r="G57" s="157"/>
      <c r="H57" s="37">
        <f>B57-F57-G57</f>
        <v>63.9</v>
      </c>
      <c r="I57" s="12"/>
      <c r="J57" s="13"/>
      <c r="K57" s="32"/>
      <c r="M57" s="1" t="s">
        <v>83</v>
      </c>
      <c r="O57" s="1"/>
      <c r="P57" s="1"/>
    </row>
    <row r="58" spans="1:25" ht="18.75" thickBot="1" x14ac:dyDescent="0.3">
      <c r="A58" s="34" t="s">
        <v>82</v>
      </c>
      <c r="B58" s="83">
        <f>+B20</f>
        <v>0</v>
      </c>
      <c r="C58" s="111"/>
      <c r="F58" s="6"/>
      <c r="G58" s="88"/>
      <c r="H58" s="37">
        <f>B58-F58-G58</f>
        <v>0</v>
      </c>
      <c r="I58" s="52">
        <v>1</v>
      </c>
      <c r="J58" s="10">
        <v>1012</v>
      </c>
      <c r="K58" s="113">
        <f>-(K23+K40+K56+K76+K83+K88)-K59-K60</f>
        <v>-6123.6500000000005</v>
      </c>
      <c r="M58" s="1"/>
      <c r="O58" s="114">
        <f>+'[8]1012-CNB Checking'!$F$96</f>
        <v>6123.65</v>
      </c>
      <c r="P58" s="114"/>
      <c r="Y58" s="32">
        <f>+K58+O58</f>
        <v>0</v>
      </c>
    </row>
    <row r="59" spans="1:25" ht="18.75" thickTop="1" x14ac:dyDescent="0.25">
      <c r="A59" s="34" t="s">
        <v>25</v>
      </c>
      <c r="B59" s="110">
        <v>65.81</v>
      </c>
      <c r="C59" s="111"/>
      <c r="D59" s="4">
        <v>6570</v>
      </c>
      <c r="F59" s="160">
        <f>+((F7+F8)/(B8+B7))*B59</f>
        <v>1.2069582122126346</v>
      </c>
      <c r="G59" s="88">
        <f>+((G7+G8)/(B7+B8))*B59</f>
        <v>20.743266618371219</v>
      </c>
      <c r="H59" s="37">
        <f>+B59-F59-G59</f>
        <v>43.859775169416139</v>
      </c>
      <c r="I59" s="85">
        <v>1</v>
      </c>
      <c r="K59" s="21"/>
      <c r="O59" s="21"/>
      <c r="P59" s="1"/>
    </row>
    <row r="60" spans="1:25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85">
        <v>1</v>
      </c>
      <c r="K60" s="21"/>
      <c r="O60" s="21"/>
      <c r="P60" s="1"/>
    </row>
    <row r="61" spans="1:25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>B61-F61-G61</f>
        <v>0</v>
      </c>
      <c r="I61" s="85"/>
      <c r="K61" s="21"/>
      <c r="O61" s="21"/>
      <c r="P61" s="1"/>
    </row>
    <row r="62" spans="1:25" ht="18.75" thickBot="1" x14ac:dyDescent="0.3">
      <c r="A62" s="34" t="s">
        <v>60</v>
      </c>
      <c r="B62" s="116">
        <f>B54+B60+B61+B56+B59+B58</f>
        <v>512.80999999999995</v>
      </c>
      <c r="C62" s="117"/>
      <c r="D62" s="7"/>
      <c r="E62" s="1"/>
      <c r="F62" s="71">
        <f>F52+F56</f>
        <v>7</v>
      </c>
      <c r="G62" s="71">
        <f>G52+G56</f>
        <v>85.4</v>
      </c>
      <c r="H62" s="118">
        <f>B62-G62</f>
        <v>427.40999999999997</v>
      </c>
      <c r="I62" s="115" t="s">
        <v>85</v>
      </c>
      <c r="K62" s="32"/>
      <c r="O62" s="1"/>
      <c r="P62" s="1"/>
    </row>
    <row r="63" spans="1:25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5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v>0.1</v>
      </c>
      <c r="G65" s="123">
        <v>0.3</v>
      </c>
      <c r="H65" s="123">
        <v>0.6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0.1</v>
      </c>
      <c r="G70" s="123">
        <f>G65</f>
        <v>0.3</v>
      </c>
      <c r="H70" s="123">
        <f>H65</f>
        <v>0.6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/>
      <c r="C71" s="106"/>
      <c r="D71" s="28">
        <v>6300</v>
      </c>
      <c r="E71" s="29"/>
      <c r="F71" s="81">
        <f>B71*F70</f>
        <v>0</v>
      </c>
      <c r="G71" s="107">
        <f>B71*G70</f>
        <v>0</v>
      </c>
      <c r="H71" s="31">
        <f>B71*H70-0</f>
        <v>0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0</v>
      </c>
      <c r="C72" s="117"/>
      <c r="D72" s="7"/>
      <c r="E72" s="1"/>
      <c r="F72" s="71">
        <f>F71</f>
        <v>0</v>
      </c>
      <c r="G72" s="71">
        <f>G71</f>
        <v>0</v>
      </c>
      <c r="H72" s="118">
        <f>H71</f>
        <v>0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6123.65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4666.63</v>
      </c>
      <c r="C77" s="130"/>
      <c r="D77" s="131" t="s">
        <v>100</v>
      </c>
      <c r="E77" s="6"/>
      <c r="F77" s="6"/>
      <c r="G77" s="132">
        <v>4666.63</v>
      </c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4666.63</v>
      </c>
      <c r="C80" s="130"/>
      <c r="D80" s="131"/>
      <c r="E80" s="6"/>
      <c r="F80" s="6"/>
      <c r="G80" s="129">
        <f>SUM(G77:G79)</f>
        <v>4666.63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6123.65</v>
      </c>
      <c r="C81" s="3"/>
      <c r="D81" s="4"/>
      <c r="E81" s="5"/>
      <c r="F81" s="5"/>
      <c r="G81" s="5"/>
      <c r="H81" s="128" t="str">
        <f>IF(B80-G80=0,"ok","NO")</f>
        <v>ok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0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6123.65</v>
      </c>
      <c r="C83" s="128" t="str">
        <f>IF(B75=B83,"ok","NO")</f>
        <v>ok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0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22A34-FC7A-41ED-8A22-30E81BE531FA}">
  <sheetPr>
    <tabColor rgb="FF00B050"/>
    <pageSetUpPr fitToPage="1"/>
  </sheetPr>
  <dimension ref="A2:Z99"/>
  <sheetViews>
    <sheetView zoomScale="70" zoomScaleNormal="70" zoomScalePageLayoutView="70" workbookViewId="0">
      <selection activeCell="B26" sqref="B26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5.37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customWidth="1"/>
    <col min="17" max="17" width="15.25" style="5" customWidth="1"/>
    <col min="18" max="18" width="18.125" style="5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43672</v>
      </c>
      <c r="K2" s="9"/>
      <c r="M2" s="5" t="s">
        <v>1</v>
      </c>
    </row>
    <row r="3" spans="1:19" x14ac:dyDescent="0.25">
      <c r="A3" s="10" t="s">
        <v>2</v>
      </c>
      <c r="B3" s="8">
        <v>43665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0.8</v>
      </c>
    </row>
    <row r="7" spans="1:19" x14ac:dyDescent="0.25">
      <c r="A7" s="25" t="s">
        <v>14</v>
      </c>
      <c r="B7" s="26">
        <v>42382.58</v>
      </c>
      <c r="C7" s="27">
        <f>B7-F7-G7-H7</f>
        <v>0</v>
      </c>
      <c r="D7" s="28">
        <v>6500</v>
      </c>
      <c r="E7" s="29"/>
      <c r="F7" s="30">
        <v>3579.33</v>
      </c>
      <c r="G7" s="30">
        <v>16578.490000000002</v>
      </c>
      <c r="H7" s="31">
        <f t="shared" ref="H7:H31" si="0">B7-F7-G7</f>
        <v>22224.76</v>
      </c>
      <c r="I7" s="12">
        <v>1</v>
      </c>
      <c r="J7" s="13">
        <v>6500</v>
      </c>
      <c r="K7" s="32">
        <f>H7+H31</f>
        <v>22224.76</v>
      </c>
      <c r="M7" s="5" t="s">
        <v>15</v>
      </c>
      <c r="P7" s="5">
        <v>1</v>
      </c>
      <c r="Q7" s="13">
        <v>6500</v>
      </c>
      <c r="R7" s="33">
        <f>+K7*$R$6</f>
        <v>17779.808000000001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932.87</v>
      </c>
      <c r="C10" s="27"/>
      <c r="D10" s="4">
        <v>6040</v>
      </c>
      <c r="F10" s="35"/>
      <c r="G10" s="35">
        <v>204.31</v>
      </c>
      <c r="H10" s="37">
        <f t="shared" si="0"/>
        <v>728.56</v>
      </c>
      <c r="I10" s="12">
        <v>1</v>
      </c>
      <c r="J10" s="13">
        <v>6580</v>
      </c>
      <c r="K10" s="32">
        <f>ROUND($H$42+$H$43+$H$44+$H$45-$H$15+$H$46,2)</f>
        <v>3161.25</v>
      </c>
      <c r="M10" s="39" t="s">
        <v>21</v>
      </c>
      <c r="P10" s="5">
        <v>1</v>
      </c>
      <c r="Q10" s="13">
        <v>6580</v>
      </c>
      <c r="R10" s="33">
        <f>+K10*$R$6</f>
        <v>2529</v>
      </c>
      <c r="S10" s="32"/>
    </row>
    <row r="11" spans="1:19" x14ac:dyDescent="0.25">
      <c r="A11" s="34" t="s">
        <v>22</v>
      </c>
      <c r="B11" s="40">
        <v>2518.15</v>
      </c>
      <c r="C11" s="27">
        <f t="shared" ref="C11:C30" si="1">B11-F11-G11-H11</f>
        <v>0</v>
      </c>
      <c r="D11" s="4">
        <v>2100</v>
      </c>
      <c r="F11" s="41"/>
      <c r="G11" s="41"/>
      <c r="H11" s="37">
        <f t="shared" si="0"/>
        <v>2518.15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588.91</v>
      </c>
      <c r="C12" s="27">
        <f t="shared" si="1"/>
        <v>0</v>
      </c>
      <c r="D12" s="4">
        <v>2100</v>
      </c>
      <c r="F12" s="41"/>
      <c r="G12" s="41"/>
      <c r="H12" s="37">
        <f t="shared" si="0"/>
        <v>588.91</v>
      </c>
      <c r="I12" s="12">
        <v>1</v>
      </c>
      <c r="J12" s="13">
        <v>6570</v>
      </c>
      <c r="K12" s="32">
        <f>-H23+H51+H58</f>
        <v>399.28</v>
      </c>
      <c r="M12" s="5" t="s">
        <v>25</v>
      </c>
      <c r="P12" s="5">
        <v>1</v>
      </c>
      <c r="Q12" s="13">
        <v>6570</v>
      </c>
      <c r="R12" s="33">
        <f>+K12*R6</f>
        <v>319.42399999999998</v>
      </c>
      <c r="S12" s="32"/>
    </row>
    <row r="13" spans="1:19" x14ac:dyDescent="0.25">
      <c r="A13" s="34" t="s">
        <v>26</v>
      </c>
      <c r="B13" s="42">
        <v>3237.89</v>
      </c>
      <c r="C13" s="27">
        <f t="shared" si="1"/>
        <v>0</v>
      </c>
      <c r="D13" s="4">
        <v>2110</v>
      </c>
      <c r="F13" s="41"/>
      <c r="G13" s="41"/>
      <c r="H13" s="37">
        <f t="shared" si="0"/>
        <v>3237.89</v>
      </c>
      <c r="I13" s="12">
        <v>1</v>
      </c>
      <c r="J13" s="13">
        <v>6571</v>
      </c>
      <c r="K13" s="32">
        <f>ROUND(H55,2)</f>
        <v>1163.17</v>
      </c>
      <c r="M13" s="43" t="s">
        <v>27</v>
      </c>
      <c r="P13" s="5">
        <v>1</v>
      </c>
      <c r="Q13" s="13">
        <v>6571</v>
      </c>
      <c r="R13" s="33">
        <f>+K13*$R$6</f>
        <v>930.53600000000006</v>
      </c>
      <c r="S13" s="32"/>
    </row>
    <row r="14" spans="1:19" x14ac:dyDescent="0.25">
      <c r="A14" s="34" t="s">
        <v>28</v>
      </c>
      <c r="B14" s="42">
        <v>1714.85</v>
      </c>
      <c r="C14" s="27">
        <f t="shared" si="1"/>
        <v>0</v>
      </c>
      <c r="D14" s="4">
        <v>2120</v>
      </c>
      <c r="F14" s="41"/>
      <c r="G14" s="41"/>
      <c r="H14" s="37">
        <f t="shared" si="0"/>
        <v>1714.85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24</v>
      </c>
      <c r="C15" s="27">
        <f t="shared" si="1"/>
        <v>0</v>
      </c>
      <c r="D15" s="4">
        <v>6580</v>
      </c>
      <c r="F15" s="44"/>
      <c r="G15" s="44"/>
      <c r="H15" s="37">
        <f t="shared" si="0"/>
        <v>24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>
        <f>SUM(R61:R66)</f>
        <v>0</v>
      </c>
    </row>
    <row r="16" spans="1:19" ht="18.75" thickBot="1" x14ac:dyDescent="0.3">
      <c r="A16" s="34" t="s">
        <v>33</v>
      </c>
      <c r="B16" s="51">
        <v>64.849999999999994</v>
      </c>
      <c r="C16" s="27">
        <f t="shared" si="1"/>
        <v>0</v>
      </c>
      <c r="D16" s="7">
        <v>2120</v>
      </c>
      <c r="F16" s="44"/>
      <c r="G16" s="44"/>
      <c r="H16" s="37">
        <f t="shared" si="0"/>
        <v>64.849999999999994</v>
      </c>
      <c r="I16" s="52">
        <v>1</v>
      </c>
      <c r="J16" s="10">
        <v>2120</v>
      </c>
      <c r="K16" s="21">
        <f>-H16</f>
        <v>-64.849999999999994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-51.879999999999995</v>
      </c>
      <c r="S16" s="32"/>
    </row>
    <row r="17" spans="1:26" x14ac:dyDescent="0.25">
      <c r="A17" s="34" t="s">
        <v>35</v>
      </c>
      <c r="B17" s="53">
        <v>24</v>
      </c>
      <c r="C17" s="27">
        <f t="shared" si="1"/>
        <v>0</v>
      </c>
      <c r="D17" s="54">
        <v>1830</v>
      </c>
      <c r="F17" s="41"/>
      <c r="G17" s="55"/>
      <c r="H17" s="37">
        <f t="shared" si="0"/>
        <v>24</v>
      </c>
      <c r="I17" s="12">
        <v>1</v>
      </c>
      <c r="J17" s="13">
        <v>1830</v>
      </c>
      <c r="K17" s="56">
        <f>ROUND(-H20-H27-H17-H18-H21-H26-H28,2)</f>
        <v>-1984.55</v>
      </c>
      <c r="M17" s="5" t="s">
        <v>36</v>
      </c>
      <c r="P17" s="5">
        <v>1</v>
      </c>
      <c r="Q17" s="13">
        <v>1830</v>
      </c>
      <c r="R17" s="33">
        <f>+K17*$R$6</f>
        <v>-1587.64</v>
      </c>
      <c r="S17" s="32"/>
    </row>
    <row r="18" spans="1:26" x14ac:dyDescent="0.25">
      <c r="A18" s="34" t="s">
        <v>37</v>
      </c>
      <c r="B18" s="57">
        <v>87.96</v>
      </c>
      <c r="C18" s="27">
        <f t="shared" si="1"/>
        <v>0</v>
      </c>
      <c r="D18" s="54">
        <v>1830</v>
      </c>
      <c r="F18" s="41"/>
      <c r="G18" s="44"/>
      <c r="H18" s="37">
        <f t="shared" si="0"/>
        <v>87.96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57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287.42</v>
      </c>
      <c r="M19" s="5" t="s">
        <v>40</v>
      </c>
      <c r="P19" s="5">
        <v>1</v>
      </c>
      <c r="Q19" s="13">
        <v>6300</v>
      </c>
      <c r="R19" s="33">
        <f>+K19*$R$6</f>
        <v>229.93600000000004</v>
      </c>
      <c r="S19" s="32"/>
    </row>
    <row r="20" spans="1:26" x14ac:dyDescent="0.25">
      <c r="A20" s="34" t="s">
        <v>41</v>
      </c>
      <c r="B20" s="57">
        <v>1432.85</v>
      </c>
      <c r="C20" s="27">
        <f t="shared" si="1"/>
        <v>0</v>
      </c>
      <c r="D20" s="4">
        <v>1830</v>
      </c>
      <c r="F20" s="41"/>
      <c r="G20" s="44"/>
      <c r="H20" s="37">
        <f t="shared" si="0"/>
        <v>1432.85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57">
        <v>174.96</v>
      </c>
      <c r="C21" s="27">
        <f t="shared" si="1"/>
        <v>0</v>
      </c>
      <c r="D21" s="54">
        <v>1830</v>
      </c>
      <c r="F21" s="41"/>
      <c r="G21" s="44"/>
      <c r="H21" s="37">
        <f t="shared" si="0"/>
        <v>174.96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57"/>
      <c r="C22" s="27">
        <f t="shared" si="1"/>
        <v>0</v>
      </c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57">
        <v>1836.48</v>
      </c>
      <c r="C23" s="27">
        <f t="shared" si="1"/>
        <v>0</v>
      </c>
      <c r="D23" s="4">
        <v>6570</v>
      </c>
      <c r="F23" s="44"/>
      <c r="G23" s="44"/>
      <c r="H23" s="37">
        <f t="shared" si="0"/>
        <v>1836.48</v>
      </c>
      <c r="I23" s="12"/>
      <c r="J23" s="13"/>
      <c r="K23" s="59">
        <f>SUM(K7:K22)</f>
        <v>25186.48</v>
      </c>
      <c r="N23" s="1">
        <v>2040</v>
      </c>
      <c r="P23" s="5">
        <v>1</v>
      </c>
      <c r="Q23" s="13">
        <v>2040</v>
      </c>
      <c r="R23" s="60">
        <f>SUM(R7:R22)</f>
        <v>20149.184000000001</v>
      </c>
      <c r="S23" s="6"/>
      <c r="V23" s="32"/>
    </row>
    <row r="24" spans="1:26" ht="18.75" thickTop="1" x14ac:dyDescent="0.25">
      <c r="A24" s="34" t="s">
        <v>48</v>
      </c>
      <c r="B24" s="57">
        <v>451.11</v>
      </c>
      <c r="C24" s="27">
        <f t="shared" si="1"/>
        <v>0</v>
      </c>
      <c r="F24" s="41"/>
      <c r="G24" s="44"/>
      <c r="H24" s="37">
        <f t="shared" si="0"/>
        <v>451.11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57">
        <v>132.69</v>
      </c>
      <c r="C25" s="27">
        <f t="shared" si="1"/>
        <v>0</v>
      </c>
      <c r="F25" s="44"/>
      <c r="G25" s="44"/>
      <c r="H25" s="37">
        <f t="shared" si="0"/>
        <v>132.69</v>
      </c>
      <c r="I25" s="61">
        <v>2</v>
      </c>
      <c r="J25" s="62"/>
      <c r="K25" s="32"/>
      <c r="Q25" s="62"/>
      <c r="R25" s="33"/>
      <c r="V25" s="32"/>
    </row>
    <row r="26" spans="1:26" x14ac:dyDescent="0.25">
      <c r="A26" s="34" t="s">
        <v>50</v>
      </c>
      <c r="B26" s="57">
        <v>63.17</v>
      </c>
      <c r="C26" s="27">
        <f t="shared" si="1"/>
        <v>0</v>
      </c>
      <c r="D26" s="54">
        <v>1830</v>
      </c>
      <c r="F26" s="41"/>
      <c r="G26" s="55"/>
      <c r="H26" s="37">
        <f t="shared" si="0"/>
        <v>63.17</v>
      </c>
      <c r="I26" s="12">
        <v>2</v>
      </c>
      <c r="J26" s="13">
        <v>6500</v>
      </c>
      <c r="K26" s="32">
        <f>G7+G31</f>
        <v>16578.490000000002</v>
      </c>
      <c r="M26" s="5" t="s">
        <v>51</v>
      </c>
      <c r="O26" s="32"/>
      <c r="P26" s="5">
        <v>2</v>
      </c>
      <c r="Q26" s="13">
        <v>6500</v>
      </c>
      <c r="R26" s="33">
        <f>+K26*R6</f>
        <v>13262.792000000001</v>
      </c>
      <c r="S26" s="32"/>
      <c r="X26" s="32"/>
    </row>
    <row r="27" spans="1:26" x14ac:dyDescent="0.25">
      <c r="A27" s="34" t="s">
        <v>52</v>
      </c>
      <c r="B27" s="57">
        <v>114.66</v>
      </c>
      <c r="C27" s="63">
        <f t="shared" si="1"/>
        <v>0</v>
      </c>
      <c r="F27" s="41"/>
      <c r="G27" s="55"/>
      <c r="H27" s="37">
        <f t="shared" si="0"/>
        <v>114.66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64">
        <v>86.95</v>
      </c>
      <c r="C28" s="27">
        <f t="shared" si="1"/>
        <v>0</v>
      </c>
      <c r="D28" s="54">
        <v>1830</v>
      </c>
      <c r="F28" s="44"/>
      <c r="G28" s="44"/>
      <c r="H28" s="37">
        <f t="shared" si="0"/>
        <v>86.95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57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0</v>
      </c>
      <c r="M29" s="39" t="s">
        <v>21</v>
      </c>
      <c r="P29" s="5">
        <v>2</v>
      </c>
      <c r="Q29" s="13">
        <v>6580</v>
      </c>
      <c r="R29" s="33">
        <f>+K29*R6</f>
        <v>0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199.64</v>
      </c>
      <c r="M31" s="5" t="s">
        <v>25</v>
      </c>
      <c r="P31" s="5">
        <v>2</v>
      </c>
      <c r="Q31" s="13">
        <v>6570</v>
      </c>
      <c r="R31" s="33">
        <f>+K31*$R$6</f>
        <v>159.71199999999999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B7+B8+B10-B11-B12-B13-B14-B15-B16-B19-B29-B20-B26-B25-B28-B17-B21-B18-B23-B22-B24+B30+B31-B27</f>
        <v>30761.970000000008</v>
      </c>
      <c r="C32" s="72">
        <f>B32-F32-G32-H32</f>
        <v>-114.6599999999944</v>
      </c>
      <c r="D32" s="71"/>
      <c r="E32" s="71"/>
      <c r="F32" s="71">
        <f>F7+F8+F10-F11-F12-F13-F14-F15-F16-F19-F29-F20-F26-F25-F28-F17-F21-F18-F23-F22-F24+F30+F31</f>
        <v>3579.33</v>
      </c>
      <c r="G32" s="71">
        <f>G7+G8+G10-G11-G12-G13-G14-G15-G16-G19-G29-G20-G26-G25-G28-G17-G21-G18-G23-G22-G24+G30+G31</f>
        <v>16782.800000000003</v>
      </c>
      <c r="H32" s="71">
        <f>H7+H8+H10-H11-H12-H13-H14-H15-H16-H19-H29-H20-H26-H25-H28-H17-H21-H18-H23-H22-H24+H30+H31</f>
        <v>10514.499999999998</v>
      </c>
      <c r="I32" s="12">
        <v>2</v>
      </c>
      <c r="J32" s="13">
        <v>6571</v>
      </c>
      <c r="K32" s="32">
        <f>G55</f>
        <v>0</v>
      </c>
      <c r="M32" s="43" t="s">
        <v>27</v>
      </c>
      <c r="P32" s="5">
        <v>2</v>
      </c>
      <c r="Q32" s="13">
        <v>6571</v>
      </c>
      <c r="R32" s="33">
        <f>+K32*$R$6</f>
        <v>0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>
        <f>SUM(R75:R81)</f>
        <v>0</v>
      </c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0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0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0</v>
      </c>
      <c r="M36" s="5" t="s">
        <v>36</v>
      </c>
      <c r="O36" s="1"/>
      <c r="P36" s="5">
        <v>2</v>
      </c>
      <c r="Q36" s="13">
        <v>1830</v>
      </c>
      <c r="R36" s="33">
        <f>+K36*$R$6</f>
        <v>0</v>
      </c>
      <c r="S36" s="32"/>
    </row>
    <row r="37" spans="1:22" x14ac:dyDescent="0.25">
      <c r="A37" s="25" t="s">
        <v>66</v>
      </c>
      <c r="B37" s="80">
        <f>B11</f>
        <v>2518.15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2518.15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588.91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588.91</v>
      </c>
      <c r="I38" s="12">
        <v>2</v>
      </c>
      <c r="J38" s="13">
        <v>6300</v>
      </c>
      <c r="K38" s="84">
        <f>ROUND(G70,2)</f>
        <v>143.71</v>
      </c>
      <c r="M38" s="5" t="s">
        <v>40</v>
      </c>
      <c r="O38" s="1"/>
      <c r="P38" s="5">
        <v>2</v>
      </c>
      <c r="Q38" s="13">
        <v>6300</v>
      </c>
      <c r="R38" s="33">
        <f>+K38*$R$6</f>
        <v>114.96800000000002</v>
      </c>
      <c r="S38" s="32"/>
    </row>
    <row r="39" spans="1:22" x14ac:dyDescent="0.25">
      <c r="A39" s="34" t="s">
        <v>68</v>
      </c>
      <c r="B39" s="83">
        <f>B13</f>
        <v>3237.89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3237.89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1714.85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1714.85</v>
      </c>
      <c r="I40" s="85"/>
      <c r="J40" s="5">
        <v>2040</v>
      </c>
      <c r="K40" s="86">
        <f>SUM(K26:K39)</f>
        <v>16921.84</v>
      </c>
      <c r="N40" s="1">
        <v>2040</v>
      </c>
      <c r="O40" s="1"/>
      <c r="P40" s="5">
        <v>2</v>
      </c>
      <c r="Q40" s="5">
        <v>2040</v>
      </c>
      <c r="R40" s="86">
        <f>SUM(R26:R39)</f>
        <v>13537.472000000002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2518.16</v>
      </c>
      <c r="C42" s="27">
        <f>B42-F42-G42-H42</f>
        <v>0</v>
      </c>
      <c r="D42" s="4">
        <v>6580</v>
      </c>
      <c r="F42" s="90"/>
      <c r="G42" s="90"/>
      <c r="H42" s="37">
        <f>B42-F42-G42</f>
        <v>2518.16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588.94000000000005</v>
      </c>
      <c r="C43" s="27">
        <f>B43-F43-G43-H43</f>
        <v>0</v>
      </c>
      <c r="D43" s="4">
        <v>6580</v>
      </c>
      <c r="F43" s="90"/>
      <c r="G43" s="90"/>
      <c r="H43" s="37">
        <f>B43-F43-G43</f>
        <v>588.94000000000005</v>
      </c>
      <c r="I43" s="12">
        <v>3</v>
      </c>
      <c r="J43" s="13">
        <v>6500</v>
      </c>
      <c r="K43" s="92">
        <f>F7+F31</f>
        <v>3579.33</v>
      </c>
      <c r="M43" s="5" t="s">
        <v>71</v>
      </c>
      <c r="O43" s="1"/>
      <c r="P43" s="5">
        <v>3</v>
      </c>
      <c r="Q43" s="13">
        <v>6500</v>
      </c>
      <c r="R43" s="33">
        <f>+K43*$R$6</f>
        <v>2863.4639999999999</v>
      </c>
      <c r="S43" s="32"/>
    </row>
    <row r="44" spans="1:22" x14ac:dyDescent="0.25">
      <c r="A44" s="34" t="s">
        <v>72</v>
      </c>
      <c r="B44" s="89">
        <v>11.69</v>
      </c>
      <c r="C44" s="27">
        <f>B44-F44-G44-H44</f>
        <v>0</v>
      </c>
      <c r="D44" s="4">
        <v>6580</v>
      </c>
      <c r="F44" s="90"/>
      <c r="G44" s="91"/>
      <c r="H44" s="37">
        <f>B44-G44-F44</f>
        <v>11.69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63.69</v>
      </c>
      <c r="C45" s="27">
        <f>B45-F45-G45-H45</f>
        <v>0</v>
      </c>
      <c r="D45" s="4">
        <v>6580</v>
      </c>
      <c r="F45" s="90"/>
      <c r="G45" s="94"/>
      <c r="H45" s="37">
        <f>B45-G45-F45</f>
        <v>63.69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2.77</v>
      </c>
      <c r="C46" s="27">
        <f>B46-F46-G46-H46</f>
        <v>0</v>
      </c>
      <c r="F46" s="96"/>
      <c r="G46" s="96"/>
      <c r="H46" s="37">
        <f>B46-G46-F46</f>
        <v>2.77</v>
      </c>
      <c r="I46" s="12">
        <v>3</v>
      </c>
      <c r="J46" s="13">
        <v>6580</v>
      </c>
      <c r="K46" s="32">
        <f>ROUND($F$42+$F$43+$F$44+$F$45-$F$15+$F$46,2)</f>
        <v>0</v>
      </c>
      <c r="M46" s="39" t="s">
        <v>21</v>
      </c>
      <c r="O46" s="1"/>
      <c r="P46" s="5">
        <v>3</v>
      </c>
      <c r="Q46" s="13">
        <v>6580</v>
      </c>
      <c r="R46" s="33">
        <f>+K46*$R$6</f>
        <v>0</v>
      </c>
      <c r="S46" s="32"/>
    </row>
    <row r="47" spans="1:22" ht="18.75" thickBot="1" x14ac:dyDescent="0.3">
      <c r="B47" s="97">
        <f>SUM(B42:B46)</f>
        <v>3185.25</v>
      </c>
      <c r="C47" s="27">
        <f>B48-F47-G47-H47</f>
        <v>0</v>
      </c>
      <c r="D47" s="7"/>
      <c r="E47" s="1"/>
      <c r="F47" s="97">
        <f>SUM(F37:F46)</f>
        <v>0</v>
      </c>
      <c r="G47" s="97">
        <f>SUM(G37:G46)</f>
        <v>0</v>
      </c>
      <c r="H47" s="71">
        <f>SUM(H37:H46)</f>
        <v>11245.050000000001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11245.050000000001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47.9</v>
      </c>
      <c r="M48" s="5" t="s">
        <v>40</v>
      </c>
      <c r="O48" s="1"/>
      <c r="P48" s="5">
        <v>3</v>
      </c>
      <c r="Q48" s="13">
        <v>6300</v>
      </c>
      <c r="R48" s="33">
        <f>+K48*$R$6</f>
        <v>38.32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0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0</v>
      </c>
      <c r="S50" s="32"/>
    </row>
    <row r="51" spans="1:23" x14ac:dyDescent="0.25">
      <c r="A51" s="25" t="s">
        <v>78</v>
      </c>
      <c r="B51" s="80">
        <f>B23</f>
        <v>1836.48</v>
      </c>
      <c r="C51" s="106"/>
      <c r="D51" s="28">
        <v>6570</v>
      </c>
      <c r="E51" s="29"/>
      <c r="F51" s="81">
        <f>F23</f>
        <v>0</v>
      </c>
      <c r="G51" s="107">
        <f>G23</f>
        <v>0</v>
      </c>
      <c r="H51" s="31">
        <f>B51-G51-F51</f>
        <v>1836.48</v>
      </c>
      <c r="I51" s="12">
        <v>3</v>
      </c>
      <c r="J51" s="13">
        <v>1830</v>
      </c>
      <c r="K51" s="56">
        <f>-ROUND(F28,2)</f>
        <v>0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66.55</v>
      </c>
      <c r="M52" s="5" t="s">
        <v>25</v>
      </c>
      <c r="O52" s="1"/>
      <c r="P52" s="5">
        <v>3</v>
      </c>
      <c r="Q52" s="13">
        <v>6570</v>
      </c>
      <c r="R52" s="33">
        <f>+K52</f>
        <v>66.55</v>
      </c>
      <c r="S52" s="32"/>
    </row>
    <row r="53" spans="1:23" x14ac:dyDescent="0.25">
      <c r="A53" s="34" t="s">
        <v>60</v>
      </c>
      <c r="B53" s="108">
        <f>SUM(B51:B52)</f>
        <v>1836.48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0</v>
      </c>
      <c r="M53" s="5" t="s">
        <v>27</v>
      </c>
      <c r="O53" s="1"/>
      <c r="P53" s="5">
        <v>3</v>
      </c>
      <c r="Q53" s="13">
        <v>6571</v>
      </c>
      <c r="R53" s="33">
        <f>+K53</f>
        <v>0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1163.17</v>
      </c>
      <c r="C55" s="111"/>
      <c r="D55" s="4">
        <v>6571</v>
      </c>
      <c r="F55" s="90"/>
      <c r="G55" s="90"/>
      <c r="H55" s="37">
        <f>B55-F55-G55</f>
        <v>1163.17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114.05</v>
      </c>
      <c r="C56" s="111"/>
      <c r="D56" s="4">
        <v>6571</v>
      </c>
      <c r="F56" s="93"/>
      <c r="G56" s="93"/>
      <c r="H56" s="37">
        <f>B56-F56-G56</f>
        <v>114.05</v>
      </c>
      <c r="I56" s="12"/>
      <c r="J56" s="13"/>
      <c r="K56" s="86">
        <f>SUM(K43:K55)</f>
        <v>3693.78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2968.3340000000003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665.47</v>
      </c>
      <c r="C58" s="111"/>
      <c r="D58" s="4">
        <v>6570</v>
      </c>
      <c r="F58" s="88">
        <f>ROUND(B58*10%,2)</f>
        <v>66.55</v>
      </c>
      <c r="G58" s="88">
        <f>ROUND(B58*30%,2)</f>
        <v>199.64</v>
      </c>
      <c r="H58" s="37">
        <f>ROUND(B58-F58-G58,2)</f>
        <v>399.28</v>
      </c>
      <c r="I58" s="52">
        <v>1</v>
      </c>
      <c r="J58" s="10">
        <v>1012</v>
      </c>
      <c r="K58" s="113">
        <f>-(K23+K40+K56+K74+K84+K90)-K59</f>
        <v>-46734.969999999994</v>
      </c>
      <c r="M58" s="1"/>
      <c r="N58" s="32">
        <f>+'[8]1012-CNB Checking'!$F$104</f>
        <v>46734.97</v>
      </c>
      <c r="O58" s="114">
        <f>+K58+N58+K59</f>
        <v>7.2759576141834259E-12</v>
      </c>
      <c r="P58" s="32"/>
      <c r="R58" s="33"/>
    </row>
    <row r="59" spans="1:23" ht="18.75" thickTop="1" x14ac:dyDescent="0.25">
      <c r="A59" s="34" t="s">
        <v>48</v>
      </c>
      <c r="B59" s="83">
        <f>B24</f>
        <v>451.11</v>
      </c>
      <c r="C59" s="27"/>
      <c r="F59" s="88">
        <f>F24</f>
        <v>0</v>
      </c>
      <c r="G59" s="88">
        <f>G24</f>
        <v>0</v>
      </c>
      <c r="H59" s="37">
        <f>B59-F59-G59</f>
        <v>451.11</v>
      </c>
      <c r="I59" s="52">
        <v>1</v>
      </c>
      <c r="J59" s="10">
        <v>1012</v>
      </c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132.69</v>
      </c>
      <c r="C60" s="27"/>
      <c r="F60" s="88">
        <f>F25</f>
        <v>0</v>
      </c>
      <c r="G60" s="88">
        <f>G25</f>
        <v>0</v>
      </c>
      <c r="H60" s="37">
        <f>B60-F60-G60</f>
        <v>132.69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4248.92</v>
      </c>
      <c r="C61" s="117"/>
      <c r="D61" s="7"/>
      <c r="E61" s="1"/>
      <c r="F61" s="71">
        <f>F51+F55</f>
        <v>0</v>
      </c>
      <c r="G61" s="71">
        <f>G51+G55</f>
        <v>0</v>
      </c>
      <c r="H61" s="118">
        <f>B61-G61</f>
        <v>4248.92</v>
      </c>
      <c r="I61" s="115">
        <v>1</v>
      </c>
      <c r="J61" s="119">
        <v>1831</v>
      </c>
      <c r="K61" s="120">
        <v>170</v>
      </c>
      <c r="M61" s="5" t="s">
        <v>42</v>
      </c>
      <c r="O61" s="121"/>
      <c r="P61" s="115">
        <v>1</v>
      </c>
      <c r="Q61" s="119">
        <v>1831</v>
      </c>
      <c r="R61" s="16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>
        <v>98.17</v>
      </c>
      <c r="M62" s="5" t="s">
        <v>132</v>
      </c>
      <c r="O62" s="1"/>
      <c r="P62" s="115">
        <v>1</v>
      </c>
      <c r="Q62" s="5">
        <v>6565</v>
      </c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85">
        <v>1</v>
      </c>
      <c r="Q63" s="5">
        <v>1831</v>
      </c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>
        <v>1</v>
      </c>
      <c r="Q64" s="5">
        <v>6630</v>
      </c>
      <c r="R64" s="16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/>
      <c r="M65" s="5" t="s">
        <v>90</v>
      </c>
      <c r="O65" s="1"/>
      <c r="P65" s="85">
        <v>1</v>
      </c>
      <c r="Q65" s="5">
        <v>6630</v>
      </c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653.16-K79</f>
        <v>460.39</v>
      </c>
      <c r="M66" s="5" t="s">
        <v>133</v>
      </c>
      <c r="O66" s="1"/>
      <c r="P66" s="85">
        <v>1</v>
      </c>
      <c r="Q66" s="5">
        <v>6551</v>
      </c>
      <c r="R66" s="16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>
        <v>1</v>
      </c>
      <c r="Q67" s="5">
        <v>6012</v>
      </c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>
        <f>477.42+1.61</f>
        <v>479.03000000000003</v>
      </c>
      <c r="C70" s="106"/>
      <c r="D70" s="28">
        <v>6300</v>
      </c>
      <c r="E70" s="29"/>
      <c r="F70" s="81">
        <f>B70*F69</f>
        <v>47.903000000000006</v>
      </c>
      <c r="G70" s="107">
        <f>B70*G69</f>
        <v>143.709</v>
      </c>
      <c r="H70" s="31">
        <f>B70*H69-0</f>
        <v>287.41800000000001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47.903000000000006</v>
      </c>
      <c r="G71" s="71">
        <f>G70</f>
        <v>143.709</v>
      </c>
      <c r="H71" s="118">
        <f>H70</f>
        <v>287.41800000000001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46255.94</v>
      </c>
      <c r="F74" s="6"/>
      <c r="I74" s="85" t="s">
        <v>97</v>
      </c>
      <c r="K74" s="129">
        <f>SUM(K61:K73)</f>
        <v>728.56</v>
      </c>
      <c r="O74" s="1"/>
      <c r="R74" s="162"/>
    </row>
    <row r="75" spans="1:20" ht="18.75" thickBot="1" x14ac:dyDescent="0.3">
      <c r="F75" s="6"/>
      <c r="I75" s="85">
        <v>2</v>
      </c>
      <c r="J75" s="167">
        <v>6565</v>
      </c>
      <c r="K75" s="120"/>
      <c r="M75" s="5" t="s">
        <v>132</v>
      </c>
      <c r="O75" s="1"/>
      <c r="P75" s="85">
        <v>2</v>
      </c>
      <c r="Q75" s="119" t="s">
        <v>107</v>
      </c>
      <c r="R75" s="163"/>
      <c r="S75" s="32"/>
    </row>
    <row r="76" spans="1:20" x14ac:dyDescent="0.25">
      <c r="A76" s="129" t="s">
        <v>99</v>
      </c>
      <c r="B76" s="26">
        <v>30647.919999999998</v>
      </c>
      <c r="C76" s="130"/>
      <c r="D76" s="131" t="s">
        <v>100</v>
      </c>
      <c r="E76" s="6"/>
      <c r="F76" s="6"/>
      <c r="G76" s="132"/>
      <c r="H76" s="6"/>
      <c r="I76" s="85">
        <v>2</v>
      </c>
      <c r="J76" s="119">
        <v>1831</v>
      </c>
      <c r="K76" s="120"/>
      <c r="M76" s="5" t="s">
        <v>42</v>
      </c>
      <c r="O76" s="1"/>
      <c r="P76" s="85">
        <v>2</v>
      </c>
      <c r="Q76" s="119">
        <v>1831</v>
      </c>
      <c r="R76" s="16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>
        <v>2</v>
      </c>
      <c r="Q77" s="5">
        <v>6630</v>
      </c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85">
        <v>2</v>
      </c>
      <c r="Q78" s="5">
        <v>6630</v>
      </c>
      <c r="R78" s="163"/>
      <c r="S78" s="32"/>
    </row>
    <row r="79" spans="1:20" ht="18.75" thickBot="1" x14ac:dyDescent="0.3">
      <c r="A79" s="134" t="s">
        <v>104</v>
      </c>
      <c r="B79" s="135">
        <f>ROUND(SUM(B76:B78),2)</f>
        <v>30647.919999999998</v>
      </c>
      <c r="C79" s="130"/>
      <c r="D79" s="131"/>
      <c r="E79" s="6"/>
      <c r="F79" s="6"/>
      <c r="G79" s="129">
        <f>SUM(G76:G78)</f>
        <v>0</v>
      </c>
      <c r="H79" s="6" t="s">
        <v>105</v>
      </c>
      <c r="I79" s="85">
        <v>2</v>
      </c>
      <c r="J79" s="5">
        <v>6551</v>
      </c>
      <c r="K79" s="120">
        <v>192.77</v>
      </c>
      <c r="M79" s="5" t="s">
        <v>91</v>
      </c>
      <c r="O79" s="1"/>
      <c r="P79" s="85">
        <v>2</v>
      </c>
      <c r="Q79" s="5">
        <v>6551</v>
      </c>
      <c r="R79" s="163"/>
      <c r="S79" s="32"/>
    </row>
    <row r="80" spans="1:20" ht="18.75" thickBot="1" x14ac:dyDescent="0.3">
      <c r="A80" s="1" t="s">
        <v>106</v>
      </c>
      <c r="B80" s="26">
        <v>46255.94</v>
      </c>
      <c r="H80" s="128" t="str">
        <f>IF(B79-G79=0,"ok","NO")</f>
        <v>NO</v>
      </c>
      <c r="I80" s="85">
        <v>2</v>
      </c>
      <c r="J80" s="5">
        <v>6040</v>
      </c>
      <c r="K80" s="120"/>
      <c r="M80" s="5" t="s">
        <v>131</v>
      </c>
      <c r="O80" s="1"/>
      <c r="P80" s="85">
        <v>2</v>
      </c>
      <c r="Q80" s="5">
        <v>6040</v>
      </c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-30647.919999999998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162"/>
      <c r="S81" s="32"/>
    </row>
    <row r="82" spans="1:19" ht="18.75" thickBot="1" x14ac:dyDescent="0.3">
      <c r="B82" s="3">
        <f>+B80+B81</f>
        <v>46255.94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204.31</v>
      </c>
      <c r="O84" s="1"/>
      <c r="P84" s="5">
        <v>3</v>
      </c>
      <c r="Q84" s="5">
        <v>6551</v>
      </c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164"/>
      <c r="S85" s="32"/>
    </row>
    <row r="86" spans="1:19" s="33" customFormat="1" x14ac:dyDescent="0.25">
      <c r="A86" s="5"/>
      <c r="B86" s="32">
        <f>+B83+O58</f>
        <v>7.2759576141834259E-12</v>
      </c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132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932.86999999999989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38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2F9BC-EC04-471E-ABF8-BD00589A2EF0}">
  <sheetPr>
    <tabColor rgb="FF00B0F0"/>
    <pageSetUpPr fitToPage="1"/>
  </sheetPr>
  <dimension ref="A2:Z100"/>
  <sheetViews>
    <sheetView topLeftCell="A46" zoomScale="70" zoomScaleNormal="70" zoomScalePageLayoutView="70" workbookViewId="0">
      <selection activeCell="Z59" sqref="Z59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2.8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32" width="10.5" style="5"/>
    <col min="33" max="33" width="19.75" style="5" bestFit="1" customWidth="1"/>
    <col min="34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43675</v>
      </c>
      <c r="K2" s="9"/>
      <c r="M2" s="5" t="s">
        <v>1</v>
      </c>
    </row>
    <row r="3" spans="1:24" ht="18.75" thickBot="1" x14ac:dyDescent="0.3">
      <c r="A3" s="10" t="s">
        <v>2</v>
      </c>
      <c r="B3" s="8">
        <v>43646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B6" s="74"/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>
        <v>1828.5</v>
      </c>
      <c r="C7" s="27"/>
      <c r="D7" s="28"/>
      <c r="E7" s="29"/>
      <c r="F7" s="30"/>
      <c r="G7" s="146">
        <v>1828.5</v>
      </c>
      <c r="H7" s="37">
        <f t="shared" ref="H7:H32" si="0">B7-F7-G7</f>
        <v>0</v>
      </c>
      <c r="I7" s="12">
        <v>1</v>
      </c>
      <c r="J7" s="13">
        <v>6510</v>
      </c>
      <c r="K7" s="32">
        <f>+H7</f>
        <v>0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/>
      <c r="C8" s="27"/>
      <c r="F8" s="127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/>
      <c r="C9" s="27"/>
      <c r="D9" s="4">
        <v>6500</v>
      </c>
      <c r="F9" s="127"/>
      <c r="G9" s="36"/>
      <c r="H9" s="37">
        <f t="shared" si="0"/>
        <v>0</v>
      </c>
      <c r="I9" s="12">
        <v>1</v>
      </c>
      <c r="J9" s="13">
        <v>6500</v>
      </c>
      <c r="K9" s="32">
        <f>+H9</f>
        <v>0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27"/>
      <c r="F10" s="148"/>
      <c r="G10" s="148"/>
      <c r="H10" s="37">
        <f t="shared" si="0"/>
        <v>0</v>
      </c>
      <c r="I10" s="12">
        <v>1</v>
      </c>
      <c r="J10" s="13">
        <v>6580</v>
      </c>
      <c r="K10" s="32">
        <f>ROUND(H43+H44+H45+H46-H16+H47,2)</f>
        <v>0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27"/>
      <c r="F11" s="150"/>
      <c r="G11" s="150"/>
      <c r="H11" s="37">
        <f t="shared" si="0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113.37</v>
      </c>
      <c r="C12" s="27"/>
      <c r="F12" s="41"/>
      <c r="G12" s="41"/>
      <c r="H12" s="37">
        <f>B12-F12-G12</f>
        <v>113.37</v>
      </c>
      <c r="I12" s="12">
        <v>1</v>
      </c>
      <c r="J12" s="13">
        <v>6570</v>
      </c>
      <c r="K12" s="32">
        <f>-H24+H52+H59</f>
        <v>0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26.51</v>
      </c>
      <c r="C13" s="27"/>
      <c r="F13" s="41"/>
      <c r="G13" s="41"/>
      <c r="H13" s="37">
        <f t="shared" si="0"/>
        <v>26.51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>
        <v>34.85</v>
      </c>
      <c r="C14" s="27"/>
      <c r="F14" s="41"/>
      <c r="G14" s="41"/>
      <c r="H14" s="37">
        <f t="shared" si="0"/>
        <v>34.85</v>
      </c>
      <c r="I14" s="12">
        <v>1</v>
      </c>
      <c r="J14" s="13">
        <v>6571</v>
      </c>
      <c r="K14" s="32">
        <f>+H56</f>
        <v>0</v>
      </c>
      <c r="L14" s="145"/>
      <c r="M14" s="5" t="s">
        <v>61</v>
      </c>
      <c r="P14" s="1"/>
    </row>
    <row r="15" spans="1:24" x14ac:dyDescent="0.25">
      <c r="A15" s="34" t="s">
        <v>28</v>
      </c>
      <c r="B15" s="151"/>
      <c r="C15" s="27"/>
      <c r="F15" s="41"/>
      <c r="G15" s="41"/>
      <c r="H15" s="37">
        <f t="shared" si="0"/>
        <v>0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/>
      <c r="C16" s="27"/>
      <c r="F16" s="152"/>
      <c r="G16" s="44"/>
      <c r="H16" s="37">
        <f t="shared" si="0"/>
        <v>0</v>
      </c>
      <c r="I16" s="52">
        <v>1</v>
      </c>
      <c r="J16" s="10">
        <v>2120</v>
      </c>
      <c r="K16" s="21">
        <f>-H17</f>
        <v>0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1">SUM(R7:R15)</f>
        <v>779.02</v>
      </c>
      <c r="S16" s="154">
        <f t="shared" si="1"/>
        <v>944.95</v>
      </c>
      <c r="T16" s="154">
        <f t="shared" si="1"/>
        <v>348.52</v>
      </c>
      <c r="U16" s="154">
        <f t="shared" si="1"/>
        <v>1512.56</v>
      </c>
      <c r="V16" s="154">
        <f t="shared" si="1"/>
        <v>670.31999999999994</v>
      </c>
      <c r="W16" s="154">
        <f t="shared" si="1"/>
        <v>4475.92</v>
      </c>
      <c r="X16" s="154">
        <f t="shared" si="1"/>
        <v>1797.86</v>
      </c>
    </row>
    <row r="17" spans="1:25" ht="19.5" thickTop="1" thickBot="1" x14ac:dyDescent="0.3">
      <c r="A17" s="34" t="s">
        <v>33</v>
      </c>
      <c r="B17" s="151">
        <v>2.8</v>
      </c>
      <c r="C17" s="27"/>
      <c r="F17" s="152"/>
      <c r="G17" s="44">
        <f>+B17</f>
        <v>2.8</v>
      </c>
      <c r="H17" s="37">
        <f t="shared" si="0"/>
        <v>0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27"/>
      <c r="D18" s="54"/>
      <c r="E18" s="5"/>
      <c r="F18" s="41"/>
      <c r="G18" s="55"/>
      <c r="H18" s="37">
        <f t="shared" si="0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27"/>
      <c r="D19" s="54"/>
      <c r="E19" s="5"/>
      <c r="F19" s="41"/>
      <c r="G19" s="44"/>
      <c r="H19" s="37">
        <f t="shared" si="0"/>
        <v>0</v>
      </c>
      <c r="I19" s="12">
        <v>1</v>
      </c>
      <c r="J19" s="13">
        <v>6300</v>
      </c>
      <c r="K19" s="82">
        <f>ROUND(H72,2)</f>
        <v>0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27"/>
      <c r="D20" s="4"/>
      <c r="E20" s="5"/>
      <c r="F20" s="41"/>
      <c r="G20" s="55"/>
      <c r="H20" s="37">
        <f t="shared" si="0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27"/>
      <c r="D21" s="4"/>
      <c r="E21" s="5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27"/>
      <c r="D22" s="54"/>
      <c r="E22" s="5"/>
      <c r="F22" s="41"/>
      <c r="G22" s="44"/>
      <c r="H22" s="37">
        <f t="shared" si="0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27"/>
      <c r="D23" s="4"/>
      <c r="E23" s="5"/>
      <c r="F23" s="41"/>
      <c r="G23" s="55"/>
      <c r="H23" s="37">
        <f t="shared" si="0"/>
        <v>0</v>
      </c>
      <c r="I23" s="12"/>
      <c r="J23" s="13"/>
      <c r="K23" s="59">
        <f>SUM(K7:K22)</f>
        <v>0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>
        <v>146.28</v>
      </c>
      <c r="C24" s="27"/>
      <c r="D24" s="4"/>
      <c r="E24" s="5"/>
      <c r="F24" s="152"/>
      <c r="G24" s="44">
        <f>+B24</f>
        <v>146.28</v>
      </c>
      <c r="H24" s="37">
        <f t="shared" si="0"/>
        <v>0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27"/>
      <c r="D25" s="4"/>
      <c r="E25" s="5"/>
      <c r="F25" s="41"/>
      <c r="G25" s="44"/>
      <c r="H25" s="37">
        <f t="shared" si="0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27"/>
      <c r="D26" s="4"/>
      <c r="E26" s="5"/>
      <c r="F26" s="44"/>
      <c r="G26" s="44"/>
      <c r="H26" s="37">
        <f t="shared" si="0"/>
        <v>0</v>
      </c>
      <c r="I26" s="12">
        <v>2</v>
      </c>
      <c r="J26" s="13">
        <v>6510</v>
      </c>
      <c r="K26" s="32">
        <f>+G7</f>
        <v>1828.5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27"/>
      <c r="D27" s="54"/>
      <c r="E27" s="5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63"/>
      <c r="D28" s="4"/>
      <c r="E28" s="5"/>
      <c r="F28" s="41"/>
      <c r="G28" s="55"/>
      <c r="H28" s="37">
        <f t="shared" si="0"/>
        <v>0</v>
      </c>
      <c r="I28" s="12">
        <v>2</v>
      </c>
      <c r="J28" s="13">
        <v>6500</v>
      </c>
      <c r="K28" s="32">
        <f>+G9</f>
        <v>0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27"/>
      <c r="D29" s="54"/>
      <c r="E29" s="5"/>
      <c r="F29" s="41"/>
      <c r="G29" s="44"/>
      <c r="H29" s="37">
        <f t="shared" si="0"/>
        <v>0</v>
      </c>
      <c r="I29" s="12">
        <v>2</v>
      </c>
      <c r="J29" s="13">
        <v>6580</v>
      </c>
      <c r="K29" s="32">
        <f>-G16+G43+G44+G45+G46+G47</f>
        <v>139.88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65"/>
      <c r="D30" s="54"/>
      <c r="E30" s="5"/>
      <c r="F30" s="66"/>
      <c r="G30" s="67"/>
      <c r="H30" s="37">
        <f t="shared" si="0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27"/>
      <c r="D31" s="4"/>
      <c r="E31" s="5"/>
      <c r="F31" s="68"/>
      <c r="G31" s="67"/>
      <c r="H31" s="37">
        <f t="shared" si="0"/>
        <v>0</v>
      </c>
      <c r="I31" s="12">
        <v>2</v>
      </c>
      <c r="J31" s="13">
        <v>6570</v>
      </c>
      <c r="K31" s="32">
        <f>-G24+G52+G59</f>
        <v>6.26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27">
        <f t="shared" ref="C32" si="2">B32-F32-G32-H32</f>
        <v>0</v>
      </c>
      <c r="D32" s="4">
        <v>6500</v>
      </c>
      <c r="E32" s="5"/>
      <c r="F32" s="69"/>
      <c r="G32" s="70"/>
      <c r="H32" s="37">
        <f t="shared" si="0"/>
        <v>0</v>
      </c>
      <c r="I32" s="12">
        <v>2</v>
      </c>
      <c r="J32" s="13">
        <v>6571</v>
      </c>
      <c r="K32" s="32">
        <f>G56</f>
        <v>73.150000000000006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1504.6900000000003</v>
      </c>
      <c r="C33" s="72">
        <f>B33-F33-G33-H33</f>
        <v>-2.7999999999997556</v>
      </c>
      <c r="D33" s="71"/>
      <c r="E33" s="71"/>
      <c r="F33" s="71">
        <f>F7+F8+F10+F11-F12-F13-F14-F15-F16-F30-F21-F27-F26-F29-F18-F22-F19-F24-F23-F25+F31+F32</f>
        <v>0</v>
      </c>
      <c r="G33" s="71">
        <f>G7+G8+G10+G11-G12-G13-G14-G15-G16-G30-G21-G27-G26-G29-G18-G22-G19-G24-G23-G25+G31+G32</f>
        <v>1682.22</v>
      </c>
      <c r="H33" s="71">
        <f>H7+H8+H10+H11-H12-H13-H14-H15-H16-H30-H21-H27-H26-H29-H18-H22-H19-H24-H23-H25+H31+H32-H20-H28</f>
        <v>-174.73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-2.8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113.37</v>
      </c>
      <c r="C38" s="27">
        <f>B38-F38-G38-H38</f>
        <v>0</v>
      </c>
      <c r="D38" s="28">
        <v>2100</v>
      </c>
      <c r="E38" s="29"/>
      <c r="F38" s="81">
        <v>0</v>
      </c>
      <c r="G38" s="80">
        <v>0</v>
      </c>
      <c r="H38" s="31">
        <f>B38-G38-F38</f>
        <v>113.37</v>
      </c>
      <c r="I38" s="12">
        <v>2</v>
      </c>
      <c r="J38" s="13">
        <v>6300</v>
      </c>
      <c r="K38" s="84">
        <f>ROUND(G72,2)</f>
        <v>0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26.51</v>
      </c>
      <c r="C39" s="27">
        <f>B39-F39-G39-H39</f>
        <v>0</v>
      </c>
      <c r="D39" s="4">
        <v>2100</v>
      </c>
      <c r="E39" s="5"/>
      <c r="F39" s="6">
        <v>0</v>
      </c>
      <c r="G39" s="83">
        <v>0</v>
      </c>
      <c r="H39" s="37">
        <f>B39-G39-F39</f>
        <v>26.51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34.85</v>
      </c>
      <c r="C40" s="27">
        <f>B40-F40-G40-H40</f>
        <v>0</v>
      </c>
      <c r="D40" s="4">
        <v>2110</v>
      </c>
      <c r="E40" s="5"/>
      <c r="F40" s="6">
        <v>0</v>
      </c>
      <c r="G40" s="83">
        <v>0</v>
      </c>
      <c r="H40" s="37">
        <f>B40-G40-F40</f>
        <v>34.85</v>
      </c>
      <c r="I40" s="85"/>
      <c r="J40" s="5"/>
      <c r="K40" s="86">
        <f>SUM(K26:K39)</f>
        <v>2044.9900000000002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0</v>
      </c>
      <c r="C41" s="27">
        <f>B41-F41-G41-H41</f>
        <v>0</v>
      </c>
      <c r="D41" s="4">
        <v>2120</v>
      </c>
      <c r="E41" s="5"/>
      <c r="F41" s="6">
        <v>0</v>
      </c>
      <c r="G41" s="83">
        <v>0</v>
      </c>
      <c r="H41" s="37">
        <f>B41-G41-F41</f>
        <v>0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113.37</v>
      </c>
      <c r="C43" s="27">
        <f>B43-F43-G43-H43</f>
        <v>0</v>
      </c>
      <c r="D43" s="4">
        <v>6580</v>
      </c>
      <c r="E43" s="5"/>
      <c r="F43" s="152"/>
      <c r="G43" s="152">
        <f>+B43</f>
        <v>113.37</v>
      </c>
      <c r="H43" s="37">
        <f>B43-F43-G43</f>
        <v>0</v>
      </c>
      <c r="I43" s="12">
        <v>3</v>
      </c>
      <c r="J43" s="13">
        <v>6510</v>
      </c>
      <c r="K43" s="92">
        <f>+F7</f>
        <v>0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26.51</v>
      </c>
      <c r="C44" s="27">
        <f>B44-F44-G44-H44</f>
        <v>0</v>
      </c>
      <c r="D44" s="4">
        <v>6580</v>
      </c>
      <c r="E44" s="5"/>
      <c r="F44" s="152"/>
      <c r="G44" s="152">
        <f>+B44</f>
        <v>26.51</v>
      </c>
      <c r="H44" s="37">
        <f>B44-F44-G44</f>
        <v>0</v>
      </c>
      <c r="I44" s="12">
        <v>3</v>
      </c>
      <c r="J44" s="13">
        <v>6505</v>
      </c>
      <c r="K44" s="92">
        <f>+F8</f>
        <v>0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/>
      <c r="C45" s="27">
        <f>B45-F45-G45-H45</f>
        <v>0</v>
      </c>
      <c r="D45" s="4">
        <v>6580</v>
      </c>
      <c r="E45" s="5"/>
      <c r="F45" s="90"/>
      <c r="G45" s="91"/>
      <c r="H45" s="37">
        <f>B45-G45-F45</f>
        <v>0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/>
      <c r="C46" s="27">
        <f>B46-F46-G46-H46</f>
        <v>0</v>
      </c>
      <c r="D46" s="4">
        <v>6580</v>
      </c>
      <c r="E46" s="5"/>
      <c r="F46" s="93"/>
      <c r="G46" s="94"/>
      <c r="H46" s="37">
        <f>B46-G46-F46</f>
        <v>0</v>
      </c>
      <c r="I46" s="12">
        <v>3</v>
      </c>
      <c r="J46" s="13">
        <v>6580</v>
      </c>
      <c r="K46" s="92">
        <f>-F16+F43+F44+F45+F46+F47</f>
        <v>0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/>
      <c r="C47" s="27">
        <f>B47-F47-G47-H47</f>
        <v>0</v>
      </c>
      <c r="D47" s="4"/>
      <c r="E47" s="5"/>
      <c r="F47" s="95"/>
      <c r="G47" s="96"/>
      <c r="H47" s="37">
        <f>B47-G47-F47</f>
        <v>0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139.88</v>
      </c>
      <c r="C48" s="27">
        <f>B49-F48-G48-H48</f>
        <v>0</v>
      </c>
      <c r="D48" s="7"/>
      <c r="E48" s="1"/>
      <c r="F48" s="97">
        <f>SUM(F38:F47)</f>
        <v>0</v>
      </c>
      <c r="G48" s="97">
        <f>SUM(G38:G47)</f>
        <v>139.88</v>
      </c>
      <c r="H48" s="71">
        <f>SUM(H38:H47)</f>
        <v>174.73</v>
      </c>
      <c r="I48" s="12">
        <v>3</v>
      </c>
      <c r="J48" s="13">
        <v>6300</v>
      </c>
      <c r="K48" s="92">
        <f>ROUND(F72,2)</f>
        <v>0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6" s="33" customFormat="1" ht="19.5" thickTop="1" thickBot="1" x14ac:dyDescent="0.3">
      <c r="A49" s="34" t="s">
        <v>60</v>
      </c>
      <c r="B49" s="98">
        <f>SUM(B38:B47)</f>
        <v>314.61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6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0</v>
      </c>
      <c r="L50" s="1"/>
      <c r="M50" s="1" t="s">
        <v>34</v>
      </c>
      <c r="N50" s="1"/>
      <c r="O50" s="1"/>
      <c r="P50" s="1"/>
    </row>
    <row r="51" spans="1:26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6" x14ac:dyDescent="0.25">
      <c r="A52" s="25" t="s">
        <v>78</v>
      </c>
      <c r="B52" s="80">
        <f>B24</f>
        <v>146.28</v>
      </c>
      <c r="C52" s="106"/>
      <c r="D52" s="28">
        <v>6570</v>
      </c>
      <c r="E52" s="29"/>
      <c r="F52" s="81">
        <f>F24</f>
        <v>0</v>
      </c>
      <c r="G52" s="107">
        <f>G24</f>
        <v>146.28</v>
      </c>
      <c r="H52" s="31">
        <f>B52-G52-F52</f>
        <v>0</v>
      </c>
      <c r="I52" s="12">
        <v>3</v>
      </c>
      <c r="J52" s="13">
        <v>6570</v>
      </c>
      <c r="K52" s="92">
        <f>F59</f>
        <v>0</v>
      </c>
      <c r="M52" s="5" t="s">
        <v>25</v>
      </c>
      <c r="O52" s="1"/>
      <c r="P52" s="1"/>
    </row>
    <row r="53" spans="1:26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0</v>
      </c>
      <c r="M53" s="5" t="s">
        <v>27</v>
      </c>
      <c r="O53" s="1"/>
      <c r="P53" s="1"/>
    </row>
    <row r="54" spans="1:26" x14ac:dyDescent="0.25">
      <c r="A54" s="34" t="s">
        <v>60</v>
      </c>
      <c r="B54" s="108">
        <f>SUM(B52:B53)</f>
        <v>146.28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6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6" ht="18.75" thickBot="1" x14ac:dyDescent="0.3">
      <c r="A56" s="34" t="s">
        <v>80</v>
      </c>
      <c r="B56" s="110">
        <v>73.150000000000006</v>
      </c>
      <c r="C56" s="111"/>
      <c r="D56" s="4">
        <v>6571</v>
      </c>
      <c r="F56" s="152"/>
      <c r="G56" s="44">
        <f>+B56</f>
        <v>73.150000000000006</v>
      </c>
      <c r="H56" s="37">
        <f>B56-F56-G56</f>
        <v>0</v>
      </c>
      <c r="I56" s="12"/>
      <c r="J56" s="13"/>
      <c r="K56" s="86">
        <f>SUM(K43:K55)</f>
        <v>0</v>
      </c>
      <c r="L56" s="1"/>
      <c r="N56" s="1">
        <v>2040</v>
      </c>
      <c r="O56" s="1"/>
      <c r="P56" s="1"/>
      <c r="Q56" s="33">
        <f>+O58+K58</f>
        <v>26.769999999999982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6" ht="18.75" thickTop="1" x14ac:dyDescent="0.25">
      <c r="A57" s="34" t="s">
        <v>61</v>
      </c>
      <c r="B57" s="112"/>
      <c r="C57" s="111"/>
      <c r="D57" s="4">
        <v>6571</v>
      </c>
      <c r="F57" s="93"/>
      <c r="G57" s="157"/>
      <c r="H57" s="37">
        <f>B57-F57-G57</f>
        <v>0</v>
      </c>
      <c r="I57" s="12"/>
      <c r="J57" s="13"/>
      <c r="K57" s="32"/>
      <c r="M57" s="1" t="s">
        <v>83</v>
      </c>
      <c r="O57" s="1"/>
      <c r="P57" s="1"/>
    </row>
    <row r="58" spans="1:26" ht="18.75" thickBot="1" x14ac:dyDescent="0.3">
      <c r="A58" s="34" t="s">
        <v>82</v>
      </c>
      <c r="B58" s="83">
        <f>+B20</f>
        <v>0</v>
      </c>
      <c r="C58" s="111"/>
      <c r="F58" s="6"/>
      <c r="G58" s="88"/>
      <c r="H58" s="37">
        <f>B58-F58-G58</f>
        <v>0</v>
      </c>
      <c r="I58" s="52">
        <v>1</v>
      </c>
      <c r="J58" s="10">
        <v>1012</v>
      </c>
      <c r="K58" s="113">
        <f>-(K23+K40+K56+K76+K83+K88)-K59-K60</f>
        <v>-2044.9900000000002</v>
      </c>
      <c r="M58" s="1"/>
      <c r="O58" s="114">
        <f>+'[8]1012-CNB Checking'!$F$114</f>
        <v>2071.7600000000002</v>
      </c>
      <c r="P58" s="114"/>
      <c r="Y58" s="32">
        <f>+K58+O58</f>
        <v>26.769999999999982</v>
      </c>
      <c r="Z58" s="5" t="s">
        <v>134</v>
      </c>
    </row>
    <row r="59" spans="1:26" ht="18.75" thickTop="1" x14ac:dyDescent="0.25">
      <c r="A59" s="34" t="s">
        <v>25</v>
      </c>
      <c r="B59" s="110">
        <v>6.26</v>
      </c>
      <c r="C59" s="111"/>
      <c r="D59" s="4">
        <v>6570</v>
      </c>
      <c r="F59" s="160">
        <f>+((F7+F8)/(B8+B7))*B59</f>
        <v>0</v>
      </c>
      <c r="G59" s="88">
        <f>+B59</f>
        <v>6.26</v>
      </c>
      <c r="H59" s="37">
        <f>+B59-F59-G59</f>
        <v>0</v>
      </c>
      <c r="I59" s="85">
        <v>1</v>
      </c>
      <c r="K59" s="21"/>
      <c r="O59" s="21"/>
      <c r="P59" s="1"/>
    </row>
    <row r="60" spans="1:26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85">
        <v>1</v>
      </c>
      <c r="K60" s="21"/>
      <c r="O60" s="21"/>
      <c r="P60" s="1"/>
    </row>
    <row r="61" spans="1:26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>B61-F61-G61</f>
        <v>0</v>
      </c>
      <c r="I61" s="85"/>
      <c r="K61" s="21"/>
      <c r="O61" s="21"/>
      <c r="P61" s="1"/>
    </row>
    <row r="62" spans="1:26" ht="18.75" thickBot="1" x14ac:dyDescent="0.3">
      <c r="A62" s="34" t="s">
        <v>60</v>
      </c>
      <c r="B62" s="116">
        <f>B54+B60+B61+B56+B59+B58</f>
        <v>225.69</v>
      </c>
      <c r="C62" s="117"/>
      <c r="D62" s="7"/>
      <c r="E62" s="1"/>
      <c r="F62" s="71">
        <f>F52+F56</f>
        <v>0</v>
      </c>
      <c r="G62" s="71">
        <f>G52+G56</f>
        <v>219.43</v>
      </c>
      <c r="H62" s="118">
        <f>B62-G62</f>
        <v>6.2599999999999909</v>
      </c>
      <c r="I62" s="115" t="s">
        <v>85</v>
      </c>
      <c r="K62" s="32"/>
      <c r="O62" s="1"/>
      <c r="P62" s="1"/>
    </row>
    <row r="63" spans="1:26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6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v>0.1</v>
      </c>
      <c r="G65" s="123">
        <v>0.3</v>
      </c>
      <c r="H65" s="123">
        <v>0.6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0.1</v>
      </c>
      <c r="G70" s="123">
        <f>G65</f>
        <v>0.3</v>
      </c>
      <c r="H70" s="123">
        <f>H65</f>
        <v>0.6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/>
      <c r="C71" s="106"/>
      <c r="D71" s="28">
        <v>6300</v>
      </c>
      <c r="E71" s="29"/>
      <c r="F71" s="81">
        <f>B71*F70</f>
        <v>0</v>
      </c>
      <c r="G71" s="107">
        <f>B71*G70</f>
        <v>0</v>
      </c>
      <c r="H71" s="31">
        <f>B71*H70-0</f>
        <v>0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0</v>
      </c>
      <c r="C72" s="117"/>
      <c r="D72" s="7"/>
      <c r="E72" s="1"/>
      <c r="F72" s="71">
        <f>F71</f>
        <v>0</v>
      </c>
      <c r="G72" s="71">
        <f>G71</f>
        <v>0</v>
      </c>
      <c r="H72" s="118">
        <f>H71</f>
        <v>0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2044.99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1504.69</v>
      </c>
      <c r="C77" s="130"/>
      <c r="D77" s="131" t="s">
        <v>100</v>
      </c>
      <c r="E77" s="6"/>
      <c r="F77" s="6"/>
      <c r="G77" s="132">
        <v>4666.63</v>
      </c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1504.69</v>
      </c>
      <c r="C80" s="130"/>
      <c r="D80" s="131"/>
      <c r="E80" s="6"/>
      <c r="F80" s="6"/>
      <c r="G80" s="129">
        <f>SUM(G77:G79)</f>
        <v>4666.63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2044.99</v>
      </c>
      <c r="C81" s="3"/>
      <c r="D81" s="4"/>
      <c r="E81" s="5"/>
      <c r="F81" s="5"/>
      <c r="G81" s="5"/>
      <c r="H81" s="128" t="str">
        <f>IF(B80-G80=0,"ok","NO")</f>
        <v>NO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0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2044.99</v>
      </c>
      <c r="C83" s="128" t="str">
        <f>IF(B75=B83,"ok","NO")</f>
        <v>ok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0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2D7E-1871-48A8-A77A-E0DD20BF6662}">
  <sheetPr>
    <tabColor rgb="FF00B050"/>
    <pageSetUpPr fitToPage="1"/>
  </sheetPr>
  <dimension ref="A2:Z99"/>
  <sheetViews>
    <sheetView zoomScale="70" zoomScaleNormal="70" zoomScalePageLayoutView="70" workbookViewId="0">
      <selection activeCell="I7" sqref="I7:K80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5.37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43685</v>
      </c>
      <c r="K2" s="9"/>
      <c r="M2" s="5" t="s">
        <v>1</v>
      </c>
    </row>
    <row r="3" spans="1:19" x14ac:dyDescent="0.25">
      <c r="A3" s="10" t="s">
        <v>2</v>
      </c>
      <c r="B3" s="8">
        <v>43679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0.8</v>
      </c>
    </row>
    <row r="7" spans="1:19" x14ac:dyDescent="0.25">
      <c r="A7" s="25" t="s">
        <v>14</v>
      </c>
      <c r="B7" s="26">
        <f>54925.73-B8-B9</f>
        <v>42197.48</v>
      </c>
      <c r="C7" s="27">
        <f>B7-F7-G7-H7</f>
        <v>0</v>
      </c>
      <c r="D7" s="28">
        <v>6500</v>
      </c>
      <c r="E7" s="29"/>
      <c r="F7" s="30">
        <v>1057.5899999999999</v>
      </c>
      <c r="G7" s="30">
        <f>21491.36-G8-G9</f>
        <v>16456.5</v>
      </c>
      <c r="H7" s="31">
        <f t="shared" ref="H7:H31" si="0">B7-F7-G7</f>
        <v>24683.390000000007</v>
      </c>
      <c r="I7" s="12">
        <v>1</v>
      </c>
      <c r="J7" s="13">
        <v>6500</v>
      </c>
      <c r="K7" s="32">
        <f>H7+H31</f>
        <v>24683.390000000007</v>
      </c>
      <c r="M7" s="5" t="s">
        <v>15</v>
      </c>
      <c r="P7" s="5">
        <v>1</v>
      </c>
      <c r="Q7" s="13">
        <v>6500</v>
      </c>
      <c r="R7" s="33">
        <f>+K7*$R$6</f>
        <v>19746.712000000007</v>
      </c>
      <c r="S7" s="32"/>
    </row>
    <row r="8" spans="1:19" x14ac:dyDescent="0.25">
      <c r="A8" s="34" t="s">
        <v>16</v>
      </c>
      <c r="B8" s="35">
        <v>10394.94</v>
      </c>
      <c r="C8" s="27"/>
      <c r="D8" s="4">
        <v>6505</v>
      </c>
      <c r="F8" s="35"/>
      <c r="G8" s="36">
        <v>4034.87</v>
      </c>
      <c r="H8" s="37">
        <f t="shared" si="0"/>
        <v>6360.0700000000006</v>
      </c>
      <c r="I8" s="12">
        <v>1</v>
      </c>
      <c r="J8" s="13">
        <v>6505</v>
      </c>
      <c r="K8" s="32">
        <f>+H8</f>
        <v>6360.0700000000006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>
        <v>2333.31</v>
      </c>
      <c r="C9" s="27"/>
      <c r="D9" s="4">
        <v>6510</v>
      </c>
      <c r="F9" s="35"/>
      <c r="G9" s="36">
        <v>999.99</v>
      </c>
      <c r="H9" s="37">
        <f t="shared" si="0"/>
        <v>1333.32</v>
      </c>
      <c r="I9" s="12">
        <v>1</v>
      </c>
      <c r="J9" s="13">
        <v>6510</v>
      </c>
      <c r="K9" s="32">
        <f>+H9</f>
        <v>1333.32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604.55999999999995</v>
      </c>
      <c r="C10" s="27"/>
      <c r="D10" s="4">
        <v>6040</v>
      </c>
      <c r="F10" s="35"/>
      <c r="G10" s="35">
        <v>604.55999999999995</v>
      </c>
      <c r="H10" s="37">
        <f t="shared" si="0"/>
        <v>0</v>
      </c>
      <c r="I10" s="12">
        <v>1</v>
      </c>
      <c r="J10" s="13">
        <v>6580</v>
      </c>
      <c r="K10" s="32">
        <f>ROUND($H$42+$H$43+$H$44+$H$45-$H$15+$H$46,2)</f>
        <v>2590.67</v>
      </c>
      <c r="M10" s="39" t="s">
        <v>21</v>
      </c>
      <c r="P10" s="5">
        <v>1</v>
      </c>
      <c r="Q10" s="13">
        <v>6580</v>
      </c>
      <c r="R10" s="33">
        <f>+K10*$R$6</f>
        <v>2072.5360000000001</v>
      </c>
      <c r="S10" s="32"/>
    </row>
    <row r="11" spans="1:19" x14ac:dyDescent="0.25">
      <c r="A11" s="34" t="s">
        <v>22</v>
      </c>
      <c r="B11" s="40">
        <v>3295.8</v>
      </c>
      <c r="C11" s="27">
        <f t="shared" ref="C11:C30" si="1">B11-F11-G11-H11</f>
        <v>0</v>
      </c>
      <c r="D11" s="4">
        <v>2100</v>
      </c>
      <c r="F11" s="41"/>
      <c r="G11" s="41"/>
      <c r="H11" s="37">
        <f t="shared" si="0"/>
        <v>3295.8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770.82</v>
      </c>
      <c r="C12" s="27">
        <f t="shared" si="1"/>
        <v>0</v>
      </c>
      <c r="D12" s="4">
        <v>2100</v>
      </c>
      <c r="F12" s="41"/>
      <c r="G12" s="41"/>
      <c r="H12" s="37">
        <f t="shared" si="0"/>
        <v>770.82</v>
      </c>
      <c r="I12" s="12">
        <v>1</v>
      </c>
      <c r="J12" s="13">
        <v>6570</v>
      </c>
      <c r="K12" s="32">
        <f>-H23+H51+H58</f>
        <v>483.32</v>
      </c>
      <c r="M12" s="5" t="s">
        <v>25</v>
      </c>
      <c r="P12" s="5">
        <v>1</v>
      </c>
      <c r="Q12" s="13">
        <v>6570</v>
      </c>
      <c r="R12" s="33">
        <f>+K12*R6</f>
        <v>386.65600000000001</v>
      </c>
      <c r="S12" s="32"/>
    </row>
    <row r="13" spans="1:19" x14ac:dyDescent="0.25">
      <c r="A13" s="34" t="s">
        <v>26</v>
      </c>
      <c r="B13" s="42">
        <v>3337.54</v>
      </c>
      <c r="C13" s="27">
        <f t="shared" si="1"/>
        <v>0</v>
      </c>
      <c r="D13" s="4">
        <v>2110</v>
      </c>
      <c r="F13" s="41"/>
      <c r="G13" s="41"/>
      <c r="H13" s="37">
        <f t="shared" si="0"/>
        <v>3337.54</v>
      </c>
      <c r="I13" s="12">
        <v>1</v>
      </c>
      <c r="J13" s="13">
        <v>6571</v>
      </c>
      <c r="K13" s="32">
        <f>ROUND(H55,2)</f>
        <v>1621.8</v>
      </c>
      <c r="M13" s="43" t="s">
        <v>27</v>
      </c>
      <c r="P13" s="5">
        <v>1</v>
      </c>
      <c r="Q13" s="13">
        <v>6571</v>
      </c>
      <c r="R13" s="33">
        <f>+K13*$R$6</f>
        <v>1297.44</v>
      </c>
      <c r="S13" s="32"/>
    </row>
    <row r="14" spans="1:19" x14ac:dyDescent="0.25">
      <c r="A14" s="34" t="s">
        <v>28</v>
      </c>
      <c r="B14" s="42">
        <v>1930.02</v>
      </c>
      <c r="C14" s="27">
        <f t="shared" si="1"/>
        <v>0</v>
      </c>
      <c r="D14" s="4">
        <v>2120</v>
      </c>
      <c r="F14" s="41"/>
      <c r="G14" s="41"/>
      <c r="H14" s="37">
        <f t="shared" si="0"/>
        <v>1930.02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24</v>
      </c>
      <c r="C15" s="27">
        <f t="shared" si="1"/>
        <v>0</v>
      </c>
      <c r="D15" s="4">
        <v>6580</v>
      </c>
      <c r="F15" s="44">
        <v>1.2</v>
      </c>
      <c r="G15" s="44">
        <v>7.2</v>
      </c>
      <c r="H15" s="37">
        <f t="shared" si="0"/>
        <v>15.600000000000001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>
        <f>SUM(R61:R66)</f>
        <v>0</v>
      </c>
    </row>
    <row r="16" spans="1:19" ht="18.75" thickBot="1" x14ac:dyDescent="0.3">
      <c r="A16" s="34" t="s">
        <v>33</v>
      </c>
      <c r="B16" s="51">
        <v>77.319999999999993</v>
      </c>
      <c r="C16" s="27">
        <f t="shared" si="1"/>
        <v>0</v>
      </c>
      <c r="D16" s="7">
        <v>2120</v>
      </c>
      <c r="F16" s="44">
        <v>3.77</v>
      </c>
      <c r="G16" s="44">
        <v>27.8</v>
      </c>
      <c r="H16" s="37">
        <f t="shared" si="0"/>
        <v>45.75</v>
      </c>
      <c r="I16" s="52">
        <v>1</v>
      </c>
      <c r="J16" s="10">
        <v>2120</v>
      </c>
      <c r="K16" s="21">
        <f>-H16</f>
        <v>-45.75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-36.6</v>
      </c>
      <c r="S16" s="32"/>
    </row>
    <row r="17" spans="1:26" x14ac:dyDescent="0.25">
      <c r="A17" s="34" t="s">
        <v>35</v>
      </c>
      <c r="B17" s="53">
        <v>24</v>
      </c>
      <c r="C17" s="27">
        <f t="shared" si="1"/>
        <v>0</v>
      </c>
      <c r="D17" s="54">
        <v>1830</v>
      </c>
      <c r="F17" s="41"/>
      <c r="G17" s="55"/>
      <c r="H17" s="37">
        <f t="shared" si="0"/>
        <v>24</v>
      </c>
      <c r="I17" s="12">
        <v>1</v>
      </c>
      <c r="J17" s="13">
        <v>1830</v>
      </c>
      <c r="K17" s="56">
        <f>ROUND(-H20-H27-H17-H18-H21-H26-H28,2)</f>
        <v>-959.68</v>
      </c>
      <c r="M17" s="5" t="s">
        <v>36</v>
      </c>
      <c r="P17" s="5">
        <v>1</v>
      </c>
      <c r="Q17" s="13">
        <v>1830</v>
      </c>
      <c r="R17" s="33">
        <f>+K17*$R$6</f>
        <v>-767.74400000000003</v>
      </c>
      <c r="S17" s="32"/>
    </row>
    <row r="18" spans="1:26" x14ac:dyDescent="0.25">
      <c r="A18" s="34" t="s">
        <v>37</v>
      </c>
      <c r="B18" s="57">
        <v>87.96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28.079999999999991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57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293.60000000000002</v>
      </c>
      <c r="M19" s="5" t="s">
        <v>40</v>
      </c>
      <c r="P19" s="5">
        <v>1</v>
      </c>
      <c r="Q19" s="13">
        <v>6300</v>
      </c>
      <c r="R19" s="33">
        <f>+K19*$R$6</f>
        <v>234.88000000000002</v>
      </c>
      <c r="S19" s="32"/>
    </row>
    <row r="20" spans="1:26" x14ac:dyDescent="0.25">
      <c r="A20" s="34" t="s">
        <v>41</v>
      </c>
      <c r="B20" s="57">
        <v>1432.85</v>
      </c>
      <c r="C20" s="27">
        <f t="shared" si="1"/>
        <v>0</v>
      </c>
      <c r="D20" s="4">
        <v>1830</v>
      </c>
      <c r="F20" s="41"/>
      <c r="G20" s="44">
        <v>809.87</v>
      </c>
      <c r="H20" s="37">
        <f t="shared" si="0"/>
        <v>622.9799999999999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57">
        <v>174.96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48.960000000000008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57"/>
      <c r="C22" s="27">
        <f t="shared" si="1"/>
        <v>0</v>
      </c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57"/>
      <c r="C23" s="27">
        <f t="shared" si="1"/>
        <v>0</v>
      </c>
      <c r="D23" s="4">
        <v>6570</v>
      </c>
      <c r="F23" s="44">
        <v>172.48</v>
      </c>
      <c r="G23" s="44">
        <v>931.05</v>
      </c>
      <c r="H23" s="37">
        <f t="shared" si="0"/>
        <v>-1103.53</v>
      </c>
      <c r="I23" s="12"/>
      <c r="J23" s="13"/>
      <c r="K23" s="59">
        <f>SUM(K7:K22)</f>
        <v>36360.740000000005</v>
      </c>
      <c r="N23" s="1">
        <v>2040</v>
      </c>
      <c r="P23" s="5">
        <v>1</v>
      </c>
      <c r="Q23" s="13">
        <v>2040</v>
      </c>
      <c r="R23" s="60">
        <f>SUM(R7:R22)</f>
        <v>22933.880000000008</v>
      </c>
      <c r="S23" s="6"/>
      <c r="V23" s="32"/>
    </row>
    <row r="24" spans="1:26" ht="18.75" thickTop="1" x14ac:dyDescent="0.25">
      <c r="A24" s="34" t="s">
        <v>48</v>
      </c>
      <c r="B24" s="57">
        <v>451.11</v>
      </c>
      <c r="C24" s="27">
        <f t="shared" si="1"/>
        <v>0</v>
      </c>
      <c r="F24" s="41"/>
      <c r="G24" s="44">
        <v>132.58000000000001</v>
      </c>
      <c r="H24" s="37">
        <f t="shared" si="0"/>
        <v>318.52999999999997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57">
        <v>132.69</v>
      </c>
      <c r="C25" s="27">
        <f t="shared" si="1"/>
        <v>0</v>
      </c>
      <c r="F25" s="44">
        <v>101.92</v>
      </c>
      <c r="G25" s="44"/>
      <c r="H25" s="37">
        <f t="shared" si="0"/>
        <v>30.769999999999996</v>
      </c>
      <c r="I25" s="61">
        <v>2</v>
      </c>
      <c r="J25" s="62"/>
      <c r="K25" s="32"/>
      <c r="Q25" s="62"/>
      <c r="R25" s="33"/>
      <c r="V25" s="32"/>
    </row>
    <row r="26" spans="1:26" x14ac:dyDescent="0.25">
      <c r="A26" s="34" t="s">
        <v>50</v>
      </c>
      <c r="B26" s="57">
        <v>63.17</v>
      </c>
      <c r="C26" s="27">
        <f t="shared" si="1"/>
        <v>0</v>
      </c>
      <c r="D26" s="54">
        <v>1830</v>
      </c>
      <c r="F26" s="41"/>
      <c r="G26" s="55"/>
      <c r="H26" s="37">
        <f t="shared" si="0"/>
        <v>63.17</v>
      </c>
      <c r="I26" s="12">
        <v>2</v>
      </c>
      <c r="J26" s="13">
        <v>6500</v>
      </c>
      <c r="K26" s="32">
        <f>G7+G31</f>
        <v>16456.5</v>
      </c>
      <c r="M26" s="5" t="s">
        <v>51</v>
      </c>
      <c r="O26" s="32"/>
      <c r="P26" s="5">
        <v>2</v>
      </c>
      <c r="Q26" s="13">
        <v>6500</v>
      </c>
      <c r="R26" s="33">
        <f>+K26*R6</f>
        <v>13165.2</v>
      </c>
      <c r="S26" s="32"/>
      <c r="X26" s="32"/>
    </row>
    <row r="27" spans="1:26" x14ac:dyDescent="0.25">
      <c r="A27" s="34" t="s">
        <v>52</v>
      </c>
      <c r="B27" s="57">
        <v>114.66</v>
      </c>
      <c r="C27" s="63">
        <f t="shared" si="1"/>
        <v>0</v>
      </c>
      <c r="F27" s="41"/>
      <c r="G27" s="55"/>
      <c r="H27" s="37">
        <f t="shared" si="0"/>
        <v>114.66</v>
      </c>
      <c r="I27" s="12">
        <v>2</v>
      </c>
      <c r="J27" s="13">
        <v>6505</v>
      </c>
      <c r="K27" s="32">
        <f>+G8</f>
        <v>4034.87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64">
        <v>86.95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57.83</v>
      </c>
      <c r="I28" s="12">
        <v>2</v>
      </c>
      <c r="J28" s="13">
        <v>6510</v>
      </c>
      <c r="K28" s="32">
        <f>+G9</f>
        <v>999.99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57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1320.27</v>
      </c>
      <c r="M29" s="39" t="s">
        <v>21</v>
      </c>
      <c r="P29" s="5">
        <v>2</v>
      </c>
      <c r="Q29" s="13">
        <v>6580</v>
      </c>
      <c r="R29" s="33">
        <f>+K29*R6</f>
        <v>1056.2160000000001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241.66</v>
      </c>
      <c r="M31" s="5" t="s">
        <v>25</v>
      </c>
      <c r="P31" s="5">
        <v>2</v>
      </c>
      <c r="Q31" s="13">
        <v>6570</v>
      </c>
      <c r="R31" s="33">
        <f>+K31*$R$6</f>
        <v>193.328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B7+B8+B10-B11-B12-B13-B14-B15-B16-B19-B29-B20-B26-B25-B28-B17-B21-B18-B23-B22-B24+B30+B31-B27+B9</f>
        <v>43526.44</v>
      </c>
      <c r="C32" s="72">
        <f>B32-F32-G32-H32</f>
        <v>1218.6599999999926</v>
      </c>
      <c r="D32" s="71"/>
      <c r="E32" s="71"/>
      <c r="F32" s="71">
        <f t="shared" ref="F32:G32" si="2">F7+F8+F10-F11-F12-F13-F14-F15-F16-F19-F29-F20-F26-F25-F28-F17-F21-F18-F23-F22-F24+F30+F31-F27+F9</f>
        <v>767.46999999999991</v>
      </c>
      <c r="G32" s="71">
        <f t="shared" si="2"/>
        <v>19983.170000000002</v>
      </c>
      <c r="H32" s="71">
        <f>H7+H8+H10-H11-H12-H13-H14-H15-H16-H19-H29-H20-H26-H25-H28-H17-H21-H18-H23-H22-H24+H30+H31</f>
        <v>21557.140000000007</v>
      </c>
      <c r="I32" s="12">
        <v>2</v>
      </c>
      <c r="J32" s="13">
        <v>6571</v>
      </c>
      <c r="K32" s="32">
        <f>G55</f>
        <v>0</v>
      </c>
      <c r="M32" s="43" t="s">
        <v>27</v>
      </c>
      <c r="P32" s="5">
        <v>2</v>
      </c>
      <c r="Q32" s="13">
        <v>6571</v>
      </c>
      <c r="R32" s="33">
        <f>+K32*$R$6</f>
        <v>0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>
        <f>SUM(R75:R81)</f>
        <v>0</v>
      </c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-27.8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-22.240000000000002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-1014.12</v>
      </c>
      <c r="M36" s="5" t="s">
        <v>36</v>
      </c>
      <c r="O36" s="1"/>
      <c r="P36" s="5">
        <v>2</v>
      </c>
      <c r="Q36" s="13">
        <v>1830</v>
      </c>
      <c r="R36" s="33">
        <f>+K36*$R$6</f>
        <v>-811.29600000000005</v>
      </c>
      <c r="S36" s="32"/>
    </row>
    <row r="37" spans="1:22" x14ac:dyDescent="0.25">
      <c r="A37" s="25" t="s">
        <v>66</v>
      </c>
      <c r="B37" s="80">
        <f>B11</f>
        <v>3295.8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3295.8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770.82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770.82</v>
      </c>
      <c r="I38" s="12">
        <v>2</v>
      </c>
      <c r="J38" s="13">
        <v>6300</v>
      </c>
      <c r="K38" s="84">
        <f>ROUND(G70,2)</f>
        <v>146.80000000000001</v>
      </c>
      <c r="M38" s="5" t="s">
        <v>40</v>
      </c>
      <c r="O38" s="1"/>
      <c r="P38" s="5">
        <v>2</v>
      </c>
      <c r="Q38" s="13">
        <v>6300</v>
      </c>
      <c r="R38" s="33">
        <f>+K38*$R$6</f>
        <v>117.44000000000001</v>
      </c>
      <c r="S38" s="32"/>
    </row>
    <row r="39" spans="1:22" x14ac:dyDescent="0.25">
      <c r="A39" s="34" t="s">
        <v>68</v>
      </c>
      <c r="B39" s="83">
        <f>B13</f>
        <v>3337.54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3337.54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1930.02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1930.02</v>
      </c>
      <c r="I40" s="85"/>
      <c r="J40" s="5">
        <v>2040</v>
      </c>
      <c r="K40" s="86">
        <f>SUM(K26:K39)</f>
        <v>22158.170000000002</v>
      </c>
      <c r="N40" s="1">
        <v>2040</v>
      </c>
      <c r="O40" s="1"/>
      <c r="P40" s="5">
        <v>2</v>
      </c>
      <c r="Q40" s="5">
        <v>2040</v>
      </c>
      <c r="R40" s="86">
        <f>SUM(R26:R39)</f>
        <v>13698.648000000001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3295.85</v>
      </c>
      <c r="C42" s="27">
        <f>B42-F42-G42-H42</f>
        <v>0</v>
      </c>
      <c r="D42" s="4">
        <v>6580</v>
      </c>
      <c r="F42" s="90">
        <v>146.44999999999999</v>
      </c>
      <c r="G42" s="90">
        <v>1073.43</v>
      </c>
      <c r="H42" s="37">
        <f>B42-F42-G42</f>
        <v>2075.9700000000003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770.81</v>
      </c>
      <c r="C43" s="27">
        <f>B43-F43-G43-H43</f>
        <v>0</v>
      </c>
      <c r="D43" s="4">
        <v>6580</v>
      </c>
      <c r="F43" s="90">
        <v>34.450000000000003</v>
      </c>
      <c r="G43" s="90">
        <v>254.04</v>
      </c>
      <c r="H43" s="37">
        <f>B43-F43-G43</f>
        <v>482.31999999999994</v>
      </c>
      <c r="I43" s="12">
        <v>3</v>
      </c>
      <c r="J43" s="13">
        <v>6500</v>
      </c>
      <c r="K43" s="92">
        <f>F7+F31</f>
        <v>1057.5899999999999</v>
      </c>
      <c r="M43" s="5" t="s">
        <v>71</v>
      </c>
      <c r="O43" s="1"/>
      <c r="P43" s="5">
        <v>3</v>
      </c>
      <c r="Q43" s="13">
        <v>6500</v>
      </c>
      <c r="R43" s="33">
        <f>+K43*$R$6</f>
        <v>846.072</v>
      </c>
      <c r="S43" s="32"/>
    </row>
    <row r="44" spans="1:22" x14ac:dyDescent="0.25">
      <c r="A44" s="34" t="s">
        <v>72</v>
      </c>
      <c r="B44" s="89">
        <v>8.48</v>
      </c>
      <c r="C44" s="27">
        <f>B44-F44-G44-H44</f>
        <v>0</v>
      </c>
      <c r="D44" s="4">
        <v>6580</v>
      </c>
      <c r="F44" s="90"/>
      <c r="G44" s="91"/>
      <c r="H44" s="37">
        <f>B44-G44-F44</f>
        <v>8.48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37.85</v>
      </c>
      <c r="C45" s="27">
        <f>B45-F45-G45-H45</f>
        <v>0</v>
      </c>
      <c r="D45" s="4">
        <v>6580</v>
      </c>
      <c r="F45" s="90"/>
      <c r="G45" s="94"/>
      <c r="H45" s="37">
        <f>B45-G45-F45</f>
        <v>37.85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1.65</v>
      </c>
      <c r="C46" s="27">
        <f>B46-F46-G46-H46</f>
        <v>0</v>
      </c>
      <c r="F46" s="96"/>
      <c r="G46" s="96"/>
      <c r="H46" s="37">
        <f>B46-G46-F46</f>
        <v>1.65</v>
      </c>
      <c r="I46" s="12">
        <v>3</v>
      </c>
      <c r="J46" s="13">
        <v>6580</v>
      </c>
      <c r="K46" s="32">
        <f>ROUND($F$42+$F$43+$F$44+$F$45-$F$15+$F$46,2)</f>
        <v>179.7</v>
      </c>
      <c r="M46" s="39" t="s">
        <v>21</v>
      </c>
      <c r="O46" s="1"/>
      <c r="P46" s="5">
        <v>3</v>
      </c>
      <c r="Q46" s="13">
        <v>6580</v>
      </c>
      <c r="R46" s="33">
        <f>+K46*$R$6</f>
        <v>143.76</v>
      </c>
      <c r="S46" s="32"/>
    </row>
    <row r="47" spans="1:22" ht="18.75" thickBot="1" x14ac:dyDescent="0.3">
      <c r="B47" s="97">
        <f>SUM(B42:B46)</f>
        <v>4114.6399999999994</v>
      </c>
      <c r="C47" s="27">
        <f>B48-F47-G47-H47</f>
        <v>0</v>
      </c>
      <c r="D47" s="7"/>
      <c r="E47" s="1"/>
      <c r="F47" s="97">
        <f>SUM(F37:F46)</f>
        <v>180.89999999999998</v>
      </c>
      <c r="G47" s="97">
        <f>SUM(G37:G46)</f>
        <v>1327.47</v>
      </c>
      <c r="H47" s="71">
        <f>SUM(H37:H46)</f>
        <v>11940.45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13448.82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48.93</v>
      </c>
      <c r="M48" s="5" t="s">
        <v>40</v>
      </c>
      <c r="O48" s="1"/>
      <c r="P48" s="5">
        <v>3</v>
      </c>
      <c r="Q48" s="13">
        <v>6300</v>
      </c>
      <c r="R48" s="33">
        <f>+K48*$R$6</f>
        <v>39.144000000000005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-3.77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-3.016</v>
      </c>
      <c r="S50" s="32"/>
    </row>
    <row r="51" spans="1:23" x14ac:dyDescent="0.25">
      <c r="A51" s="25" t="s">
        <v>78</v>
      </c>
      <c r="B51" s="80">
        <f>B23</f>
        <v>0</v>
      </c>
      <c r="C51" s="106"/>
      <c r="D51" s="28">
        <v>6570</v>
      </c>
      <c r="E51" s="29"/>
      <c r="F51" s="81">
        <f>F23</f>
        <v>172.48</v>
      </c>
      <c r="G51" s="107">
        <f>G23</f>
        <v>931.05</v>
      </c>
      <c r="H51" s="31">
        <f>B51-G51-F51</f>
        <v>-1103.53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80.55</v>
      </c>
      <c r="M52" s="5" t="s">
        <v>25</v>
      </c>
      <c r="O52" s="1"/>
      <c r="P52" s="5">
        <v>3</v>
      </c>
      <c r="Q52" s="13">
        <v>6570</v>
      </c>
      <c r="R52" s="33">
        <f>+K52</f>
        <v>80.55</v>
      </c>
      <c r="S52" s="32"/>
    </row>
    <row r="53" spans="1:23" x14ac:dyDescent="0.25">
      <c r="A53" s="34" t="s">
        <v>60</v>
      </c>
      <c r="B53" s="108">
        <f>SUM(B51:B52)</f>
        <v>0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0</v>
      </c>
      <c r="M53" s="5" t="s">
        <v>27</v>
      </c>
      <c r="O53" s="1"/>
      <c r="P53" s="5">
        <v>3</v>
      </c>
      <c r="Q53" s="13">
        <v>6571</v>
      </c>
      <c r="R53" s="33">
        <f>+K53</f>
        <v>0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1621.8</v>
      </c>
      <c r="C55" s="111"/>
      <c r="D55" s="4">
        <v>6571</v>
      </c>
      <c r="F55" s="90"/>
      <c r="G55" s="90"/>
      <c r="H55" s="37">
        <f>B55-F55-G55</f>
        <v>1621.8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246.08</v>
      </c>
      <c r="C56" s="111"/>
      <c r="D56" s="4">
        <v>6571</v>
      </c>
      <c r="F56" s="93"/>
      <c r="G56" s="93"/>
      <c r="H56" s="37">
        <f>B56-F56-G56</f>
        <v>246.08</v>
      </c>
      <c r="I56" s="12"/>
      <c r="J56" s="13"/>
      <c r="K56" s="86">
        <f>SUM(K43:K55)</f>
        <v>1352.25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1106.51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805.53</v>
      </c>
      <c r="C58" s="111"/>
      <c r="D58" s="4">
        <v>6570</v>
      </c>
      <c r="F58" s="88">
        <f>ROUND(B58*10%,2)</f>
        <v>80.55</v>
      </c>
      <c r="G58" s="88">
        <f>ROUND(B58*30%,2)</f>
        <v>241.66</v>
      </c>
      <c r="H58" s="37">
        <f>ROUND(B58-F58-G58,2)</f>
        <v>483.32</v>
      </c>
      <c r="I58" s="52">
        <v>1</v>
      </c>
      <c r="J58" s="10">
        <v>1012</v>
      </c>
      <c r="K58" s="113">
        <f>-(K23+K40+K56+K74+K84+K90)-K59</f>
        <v>-60475.72</v>
      </c>
      <c r="M58" s="1"/>
      <c r="N58" s="32">
        <f>+'[9]1012-CNB Checking'!$F$32</f>
        <v>60475.72</v>
      </c>
      <c r="O58" s="114">
        <f>+K58+N58+K59</f>
        <v>0</v>
      </c>
      <c r="P58" s="32"/>
      <c r="R58" s="33"/>
    </row>
    <row r="59" spans="1:23" ht="18.75" thickTop="1" x14ac:dyDescent="0.25">
      <c r="A59" s="34" t="s">
        <v>48</v>
      </c>
      <c r="B59" s="83">
        <f>B24</f>
        <v>451.11</v>
      </c>
      <c r="C59" s="27"/>
      <c r="F59" s="88">
        <f>F24</f>
        <v>0</v>
      </c>
      <c r="G59" s="88">
        <f>G24</f>
        <v>132.58000000000001</v>
      </c>
      <c r="H59" s="37">
        <f>B59-F59-G59</f>
        <v>318.52999999999997</v>
      </c>
      <c r="I59" s="52">
        <v>1</v>
      </c>
      <c r="J59" s="10">
        <v>1012</v>
      </c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132.69</v>
      </c>
      <c r="C60" s="27"/>
      <c r="F60" s="88">
        <f>F25</f>
        <v>101.92</v>
      </c>
      <c r="G60" s="88">
        <f>G25</f>
        <v>0</v>
      </c>
      <c r="H60" s="37">
        <f>B60-F60-G60</f>
        <v>30.769999999999996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3011.13</v>
      </c>
      <c r="C61" s="117"/>
      <c r="D61" s="7"/>
      <c r="E61" s="1"/>
      <c r="F61" s="71">
        <f>F51+F55</f>
        <v>172.48</v>
      </c>
      <c r="G61" s="71">
        <f>G51+G55</f>
        <v>931.05</v>
      </c>
      <c r="H61" s="118">
        <f>B61-G61</f>
        <v>2080.08</v>
      </c>
      <c r="I61" s="115">
        <v>1</v>
      </c>
      <c r="J61" s="119">
        <v>1831</v>
      </c>
      <c r="K61" s="120"/>
      <c r="M61" s="5" t="s">
        <v>42</v>
      </c>
      <c r="O61" s="121"/>
      <c r="P61" s="115">
        <v>1</v>
      </c>
      <c r="Q61" s="119">
        <v>1831</v>
      </c>
      <c r="R61" s="16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/>
      <c r="M62" s="5" t="s">
        <v>132</v>
      </c>
      <c r="O62" s="1"/>
      <c r="P62" s="115">
        <v>1</v>
      </c>
      <c r="Q62" s="5">
        <v>6565</v>
      </c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85">
        <v>1</v>
      </c>
      <c r="Q63" s="5">
        <v>1831</v>
      </c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>
        <v>1</v>
      </c>
      <c r="Q64" s="5">
        <v>6630</v>
      </c>
      <c r="R64" s="16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/>
      <c r="M65" s="5" t="s">
        <v>90</v>
      </c>
      <c r="O65" s="1"/>
      <c r="P65" s="85">
        <v>1</v>
      </c>
      <c r="Q65" s="5">
        <v>6630</v>
      </c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/>
      <c r="M66" s="5" t="s">
        <v>133</v>
      </c>
      <c r="O66" s="1"/>
      <c r="P66" s="85">
        <v>1</v>
      </c>
      <c r="Q66" s="5">
        <v>6551</v>
      </c>
      <c r="R66" s="16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>
        <v>1</v>
      </c>
      <c r="Q67" s="5">
        <v>6012</v>
      </c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>
        <f>487.64+1.69</f>
        <v>489.33</v>
      </c>
      <c r="C70" s="106"/>
      <c r="D70" s="28">
        <v>6300</v>
      </c>
      <c r="E70" s="29"/>
      <c r="F70" s="81">
        <f>B70*F69</f>
        <v>48.933</v>
      </c>
      <c r="G70" s="107">
        <f>B70*G69</f>
        <v>146.79899999999998</v>
      </c>
      <c r="H70" s="31">
        <f>B70*H69-0</f>
        <v>293.59799999999996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48.933</v>
      </c>
      <c r="G71" s="71">
        <f>G70</f>
        <v>146.79899999999998</v>
      </c>
      <c r="H71" s="118">
        <f>H70</f>
        <v>293.59799999999996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59986.39</v>
      </c>
      <c r="F74" s="6"/>
      <c r="I74" s="85" t="s">
        <v>97</v>
      </c>
      <c r="K74" s="129">
        <f>SUM(K61:K73)</f>
        <v>0</v>
      </c>
      <c r="O74" s="1"/>
      <c r="R74" s="162"/>
    </row>
    <row r="75" spans="1:20" ht="18.75" thickBot="1" x14ac:dyDescent="0.3">
      <c r="F75" s="6"/>
      <c r="I75" s="85">
        <v>2</v>
      </c>
      <c r="J75" s="167">
        <v>6565</v>
      </c>
      <c r="K75" s="120">
        <v>500</v>
      </c>
      <c r="M75" s="5" t="s">
        <v>132</v>
      </c>
      <c r="O75" s="1"/>
      <c r="P75" s="85">
        <v>2</v>
      </c>
      <c r="Q75" s="119" t="s">
        <v>107</v>
      </c>
      <c r="R75" s="163"/>
      <c r="S75" s="32"/>
    </row>
    <row r="76" spans="1:20" x14ac:dyDescent="0.25">
      <c r="A76" s="129" t="s">
        <v>99</v>
      </c>
      <c r="B76" s="26">
        <v>40826.269999999997</v>
      </c>
      <c r="C76" s="130"/>
      <c r="D76" s="131" t="s">
        <v>100</v>
      </c>
      <c r="E76" s="6"/>
      <c r="F76" s="6"/>
      <c r="G76" s="132"/>
      <c r="H76" s="6"/>
      <c r="I76" s="85">
        <v>2</v>
      </c>
      <c r="J76" s="119">
        <v>1831</v>
      </c>
      <c r="K76" s="120"/>
      <c r="M76" s="5" t="s">
        <v>42</v>
      </c>
      <c r="O76" s="1"/>
      <c r="P76" s="85">
        <v>2</v>
      </c>
      <c r="Q76" s="119">
        <v>1831</v>
      </c>
      <c r="R76" s="16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>
        <v>2</v>
      </c>
      <c r="Q77" s="5">
        <v>6630</v>
      </c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85">
        <v>2</v>
      </c>
      <c r="Q78" s="5">
        <v>6630</v>
      </c>
      <c r="R78" s="163"/>
      <c r="S78" s="32"/>
    </row>
    <row r="79" spans="1:20" ht="18.75" thickBot="1" x14ac:dyDescent="0.3">
      <c r="A79" s="134" t="s">
        <v>104</v>
      </c>
      <c r="B79" s="135">
        <f>ROUND(SUM(B76:B78),2)</f>
        <v>40826.269999999997</v>
      </c>
      <c r="C79" s="130"/>
      <c r="D79" s="131"/>
      <c r="E79" s="6"/>
      <c r="F79" s="6"/>
      <c r="G79" s="129">
        <f>SUM(G76:G78)</f>
        <v>0</v>
      </c>
      <c r="H79" s="6" t="s">
        <v>105</v>
      </c>
      <c r="I79" s="85">
        <v>2</v>
      </c>
      <c r="J79" s="5">
        <v>6551</v>
      </c>
      <c r="K79" s="120">
        <v>93.02</v>
      </c>
      <c r="M79" s="5" t="s">
        <v>91</v>
      </c>
      <c r="O79" s="1"/>
      <c r="P79" s="85">
        <v>2</v>
      </c>
      <c r="Q79" s="5">
        <v>6551</v>
      </c>
      <c r="R79" s="163"/>
      <c r="S79" s="32"/>
    </row>
    <row r="80" spans="1:20" ht="18.75" thickBot="1" x14ac:dyDescent="0.3">
      <c r="A80" s="1" t="s">
        <v>106</v>
      </c>
      <c r="B80" s="26">
        <v>59986.39</v>
      </c>
      <c r="H80" s="128" t="str">
        <f>IF(B79-G79=0,"ok","NO")</f>
        <v>NO</v>
      </c>
      <c r="I80" s="85">
        <v>2</v>
      </c>
      <c r="J80" s="5">
        <v>6040</v>
      </c>
      <c r="K80" s="120"/>
      <c r="M80" s="5" t="s">
        <v>131</v>
      </c>
      <c r="O80" s="1"/>
      <c r="P80" s="85">
        <v>2</v>
      </c>
      <c r="Q80" s="5">
        <v>6040</v>
      </c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-40826.269999999997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162"/>
      <c r="S81" s="32"/>
    </row>
    <row r="82" spans="1:19" ht="18.75" thickBot="1" x14ac:dyDescent="0.3">
      <c r="B82" s="3">
        <f>+B80+B81</f>
        <v>59986.39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604.56000000000006</v>
      </c>
      <c r="O84" s="1"/>
      <c r="P84" s="5">
        <v>3</v>
      </c>
      <c r="Q84" s="5">
        <v>6551</v>
      </c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164"/>
      <c r="S85" s="32"/>
    </row>
    <row r="86" spans="1:19" s="33" customFormat="1" x14ac:dyDescent="0.25">
      <c r="A86" s="5"/>
      <c r="B86" s="32">
        <f>+B83+O58</f>
        <v>0</v>
      </c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132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604.56000000000006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7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6AD0-88D4-4A23-B3AC-F338F8175585}">
  <sheetPr>
    <tabColor rgb="FF00B050"/>
    <pageSetUpPr fitToPage="1"/>
  </sheetPr>
  <dimension ref="A2:Z99"/>
  <sheetViews>
    <sheetView zoomScale="70" zoomScaleNormal="70" zoomScalePageLayoutView="70" workbookViewId="0">
      <selection activeCell="J90" sqref="J90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5.37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43699</v>
      </c>
      <c r="K2" s="9"/>
      <c r="M2" s="5" t="s">
        <v>1</v>
      </c>
    </row>
    <row r="3" spans="1:19" x14ac:dyDescent="0.25">
      <c r="A3" s="10" t="s">
        <v>2</v>
      </c>
      <c r="B3" s="8">
        <v>43693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0.8</v>
      </c>
    </row>
    <row r="7" spans="1:19" x14ac:dyDescent="0.25">
      <c r="A7" s="25" t="s">
        <v>14</v>
      </c>
      <c r="B7" s="26">
        <v>28939.05</v>
      </c>
      <c r="C7" s="27">
        <f>B7-F7-G7-H7</f>
        <v>0</v>
      </c>
      <c r="D7" s="28">
        <v>6500</v>
      </c>
      <c r="E7" s="29"/>
      <c r="F7" s="30">
        <v>1930.58</v>
      </c>
      <c r="G7" s="30">
        <v>8711.23</v>
      </c>
      <c r="H7" s="31">
        <f t="shared" ref="H7:H31" si="0">B7-F7-G7</f>
        <v>18297.240000000002</v>
      </c>
      <c r="I7" s="12">
        <v>1</v>
      </c>
      <c r="J7" s="13">
        <v>6500</v>
      </c>
      <c r="K7" s="32">
        <f>H7+H31</f>
        <v>18297.240000000002</v>
      </c>
      <c r="M7" s="5" t="s">
        <v>15</v>
      </c>
      <c r="P7" s="5">
        <v>1</v>
      </c>
      <c r="Q7" s="13">
        <v>6500</v>
      </c>
      <c r="R7" s="33">
        <f>+K7*$R$6</f>
        <v>14637.792000000001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963.78</v>
      </c>
      <c r="C10" s="27"/>
      <c r="D10" s="4">
        <v>6040</v>
      </c>
      <c r="F10" s="35"/>
      <c r="G10" s="35">
        <v>138.25</v>
      </c>
      <c r="H10" s="37">
        <f t="shared" si="0"/>
        <v>825.53</v>
      </c>
      <c r="I10" s="12">
        <v>1</v>
      </c>
      <c r="J10" s="13">
        <v>6580</v>
      </c>
      <c r="K10" s="32">
        <f>ROUND($H$42+$H$43+$H$44+$H$45-$H$15+$H$46,2)</f>
        <v>1355.48</v>
      </c>
      <c r="M10" s="39" t="s">
        <v>21</v>
      </c>
      <c r="P10" s="5">
        <v>1</v>
      </c>
      <c r="Q10" s="13">
        <v>6580</v>
      </c>
      <c r="R10" s="33">
        <f>+K10*$R$6</f>
        <v>1084.384</v>
      </c>
      <c r="S10" s="32"/>
    </row>
    <row r="11" spans="1:19" x14ac:dyDescent="0.25">
      <c r="A11" s="34" t="s">
        <v>22</v>
      </c>
      <c r="B11" s="40">
        <v>1680.86</v>
      </c>
      <c r="C11" s="27">
        <f t="shared" ref="C11:C30" si="1">B11-F11-G11-H11</f>
        <v>0</v>
      </c>
      <c r="D11" s="4">
        <v>2100</v>
      </c>
      <c r="F11" s="41"/>
      <c r="G11" s="41"/>
      <c r="H11" s="37">
        <f t="shared" si="0"/>
        <v>1680.86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393.1</v>
      </c>
      <c r="C12" s="27">
        <f t="shared" si="1"/>
        <v>0</v>
      </c>
      <c r="D12" s="4">
        <v>2100</v>
      </c>
      <c r="F12" s="41"/>
      <c r="G12" s="41"/>
      <c r="H12" s="37">
        <f t="shared" si="0"/>
        <v>393.1</v>
      </c>
      <c r="I12" s="12">
        <v>1</v>
      </c>
      <c r="J12" s="13">
        <v>6570</v>
      </c>
      <c r="K12" s="32">
        <f>-H23+H51+H58</f>
        <v>229.4899999999999</v>
      </c>
      <c r="M12" s="5" t="s">
        <v>25</v>
      </c>
      <c r="P12" s="5">
        <v>1</v>
      </c>
      <c r="Q12" s="13">
        <v>6570</v>
      </c>
      <c r="R12" s="33">
        <f>+K12*R6</f>
        <v>183.59199999999993</v>
      </c>
      <c r="S12" s="32"/>
    </row>
    <row r="13" spans="1:19" x14ac:dyDescent="0.25">
      <c r="A13" s="34" t="s">
        <v>26</v>
      </c>
      <c r="B13" s="42">
        <v>2033.59</v>
      </c>
      <c r="C13" s="27">
        <f t="shared" si="1"/>
        <v>0</v>
      </c>
      <c r="D13" s="4">
        <v>2110</v>
      </c>
      <c r="F13" s="41"/>
      <c r="G13" s="41"/>
      <c r="H13" s="37">
        <f t="shared" si="0"/>
        <v>2033.59</v>
      </c>
      <c r="I13" s="12">
        <v>1</v>
      </c>
      <c r="J13" s="13">
        <v>6571</v>
      </c>
      <c r="K13" s="32">
        <f>ROUND(H55,2)</f>
        <v>536.17999999999995</v>
      </c>
      <c r="M13" s="43" t="s">
        <v>27</v>
      </c>
      <c r="P13" s="5">
        <v>1</v>
      </c>
      <c r="Q13" s="13">
        <v>6571</v>
      </c>
      <c r="R13" s="33">
        <f>+K13*$R$6</f>
        <v>428.94399999999996</v>
      </c>
      <c r="S13" s="32"/>
    </row>
    <row r="14" spans="1:19" x14ac:dyDescent="0.25">
      <c r="A14" s="34" t="s">
        <v>28</v>
      </c>
      <c r="B14" s="42">
        <v>1026.55</v>
      </c>
      <c r="C14" s="27">
        <f t="shared" si="1"/>
        <v>0</v>
      </c>
      <c r="D14" s="4">
        <v>2120</v>
      </c>
      <c r="F14" s="41"/>
      <c r="G14" s="41"/>
      <c r="H14" s="37">
        <f t="shared" si="0"/>
        <v>1026.55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21.6</v>
      </c>
      <c r="C15" s="27">
        <f t="shared" si="1"/>
        <v>0</v>
      </c>
      <c r="D15" s="4">
        <v>6580</v>
      </c>
      <c r="F15" s="44">
        <v>1.2</v>
      </c>
      <c r="G15" s="44">
        <v>6</v>
      </c>
      <c r="H15" s="37">
        <f t="shared" si="0"/>
        <v>14.400000000000002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>
        <f>SUM(R61:R66)</f>
        <v>0</v>
      </c>
    </row>
    <row r="16" spans="1:19" ht="18.75" thickBot="1" x14ac:dyDescent="0.3">
      <c r="A16" s="34" t="s">
        <v>33</v>
      </c>
      <c r="B16" s="51">
        <v>37.979999999999997</v>
      </c>
      <c r="C16" s="27">
        <f t="shared" si="1"/>
        <v>0</v>
      </c>
      <c r="D16" s="7">
        <v>2120</v>
      </c>
      <c r="F16" s="44">
        <v>2.95</v>
      </c>
      <c r="G16" s="44">
        <v>13.32</v>
      </c>
      <c r="H16" s="37">
        <f t="shared" si="0"/>
        <v>21.709999999999994</v>
      </c>
      <c r="I16" s="52">
        <v>1</v>
      </c>
      <c r="J16" s="10">
        <v>2120</v>
      </c>
      <c r="K16" s="21">
        <f>-H16</f>
        <v>-21.709999999999994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-17.367999999999995</v>
      </c>
      <c r="S16" s="32"/>
    </row>
    <row r="17" spans="1:26" x14ac:dyDescent="0.25">
      <c r="A17" s="34" t="s">
        <v>35</v>
      </c>
      <c r="B17" s="53">
        <v>9.36</v>
      </c>
      <c r="C17" s="27">
        <f t="shared" si="1"/>
        <v>0</v>
      </c>
      <c r="D17" s="54">
        <v>1830</v>
      </c>
      <c r="F17" s="41"/>
      <c r="G17" s="55"/>
      <c r="H17" s="37">
        <f t="shared" si="0"/>
        <v>9.36</v>
      </c>
      <c r="I17" s="12">
        <v>1</v>
      </c>
      <c r="J17" s="13">
        <v>1830</v>
      </c>
      <c r="K17" s="56">
        <f>ROUND(-H20-H27-H17-H18-H21-H26-H28,2)</f>
        <v>-1895.77</v>
      </c>
      <c r="M17" s="5" t="s">
        <v>36</v>
      </c>
      <c r="P17" s="5">
        <v>1</v>
      </c>
      <c r="Q17" s="13">
        <v>1830</v>
      </c>
      <c r="R17" s="33">
        <f>+K17*$R$6</f>
        <v>-1516.616</v>
      </c>
      <c r="S17" s="32"/>
    </row>
    <row r="18" spans="1:26" x14ac:dyDescent="0.25">
      <c r="A18" s="34" t="s">
        <v>37</v>
      </c>
      <c r="B18" s="57">
        <v>28.08</v>
      </c>
      <c r="C18" s="27">
        <f t="shared" si="1"/>
        <v>0</v>
      </c>
      <c r="D18" s="54">
        <v>1830</v>
      </c>
      <c r="F18" s="41"/>
      <c r="G18" s="44"/>
      <c r="H18" s="37">
        <f t="shared" si="0"/>
        <v>28.08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57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299.77</v>
      </c>
      <c r="M19" s="5" t="s">
        <v>40</v>
      </c>
      <c r="P19" s="5">
        <v>1</v>
      </c>
      <c r="Q19" s="13">
        <v>6300</v>
      </c>
      <c r="R19" s="33">
        <f>+K19*$R$6</f>
        <v>239.816</v>
      </c>
      <c r="S19" s="32"/>
    </row>
    <row r="20" spans="1:26" x14ac:dyDescent="0.25">
      <c r="A20" s="34" t="s">
        <v>41</v>
      </c>
      <c r="B20" s="57">
        <v>1543.54</v>
      </c>
      <c r="C20" s="27">
        <f t="shared" si="1"/>
        <v>0</v>
      </c>
      <c r="D20" s="4">
        <v>1830</v>
      </c>
      <c r="F20" s="41"/>
      <c r="G20" s="44"/>
      <c r="H20" s="37">
        <f t="shared" si="0"/>
        <v>1543.54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57">
        <v>124.56</v>
      </c>
      <c r="C21" s="27">
        <f t="shared" si="1"/>
        <v>0</v>
      </c>
      <c r="D21" s="54">
        <v>1830</v>
      </c>
      <c r="F21" s="41"/>
      <c r="G21" s="44"/>
      <c r="H21" s="37">
        <f t="shared" si="0"/>
        <v>124.56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57"/>
      <c r="C22" s="27">
        <f t="shared" si="1"/>
        <v>0</v>
      </c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57">
        <v>1433.81</v>
      </c>
      <c r="C23" s="27">
        <f t="shared" si="1"/>
        <v>0</v>
      </c>
      <c r="D23" s="4">
        <v>6570</v>
      </c>
      <c r="F23" s="44">
        <v>135.13999999999999</v>
      </c>
      <c r="G23" s="44">
        <v>514.73</v>
      </c>
      <c r="H23" s="37">
        <f t="shared" si="0"/>
        <v>783.94</v>
      </c>
      <c r="I23" s="12"/>
      <c r="J23" s="13"/>
      <c r="K23" s="59">
        <f>SUM(K7:K22)</f>
        <v>18800.680000000004</v>
      </c>
      <c r="N23" s="1">
        <v>2040</v>
      </c>
      <c r="P23" s="5">
        <v>1</v>
      </c>
      <c r="Q23" s="13">
        <v>2040</v>
      </c>
      <c r="R23" s="60">
        <f>SUM(R7:R22)</f>
        <v>15040.544000000002</v>
      </c>
      <c r="S23" s="6"/>
      <c r="V23" s="32"/>
    </row>
    <row r="24" spans="1:26" ht="18.75" thickTop="1" x14ac:dyDescent="0.25">
      <c r="A24" s="34" t="s">
        <v>48</v>
      </c>
      <c r="B24" s="57">
        <v>551.53</v>
      </c>
      <c r="C24" s="27">
        <f t="shared" si="1"/>
        <v>0</v>
      </c>
      <c r="F24" s="41"/>
      <c r="G24" s="44">
        <v>123.58</v>
      </c>
      <c r="H24" s="37">
        <f t="shared" si="0"/>
        <v>427.95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57">
        <v>132.69</v>
      </c>
      <c r="C25" s="27">
        <f t="shared" si="1"/>
        <v>0</v>
      </c>
      <c r="F25" s="44">
        <v>101.92</v>
      </c>
      <c r="G25" s="44"/>
      <c r="H25" s="37">
        <f t="shared" si="0"/>
        <v>30.769999999999996</v>
      </c>
      <c r="I25" s="61">
        <v>2</v>
      </c>
      <c r="J25" s="62"/>
      <c r="K25" s="32"/>
      <c r="Q25" s="62"/>
      <c r="R25" s="33"/>
      <c r="V25" s="32"/>
    </row>
    <row r="26" spans="1:26" x14ac:dyDescent="0.25">
      <c r="A26" s="34" t="s">
        <v>50</v>
      </c>
      <c r="B26" s="57">
        <v>28.49</v>
      </c>
      <c r="C26" s="27">
        <f t="shared" si="1"/>
        <v>0</v>
      </c>
      <c r="D26" s="54">
        <v>1830</v>
      </c>
      <c r="F26" s="41"/>
      <c r="G26" s="55"/>
      <c r="H26" s="37">
        <f t="shared" si="0"/>
        <v>28.49</v>
      </c>
      <c r="I26" s="12">
        <v>2</v>
      </c>
      <c r="J26" s="13">
        <v>6500</v>
      </c>
      <c r="K26" s="32">
        <f>G7+G31</f>
        <v>8711.23</v>
      </c>
      <c r="M26" s="5" t="s">
        <v>51</v>
      </c>
      <c r="O26" s="32"/>
      <c r="P26" s="5">
        <v>2</v>
      </c>
      <c r="Q26" s="13">
        <v>6500</v>
      </c>
      <c r="R26" s="33">
        <f>+K26*R6</f>
        <v>6968.9840000000004</v>
      </c>
      <c r="S26" s="32"/>
      <c r="X26" s="32"/>
    </row>
    <row r="27" spans="1:26" x14ac:dyDescent="0.25">
      <c r="A27" s="34" t="s">
        <v>52</v>
      </c>
      <c r="B27" s="57">
        <v>114.66</v>
      </c>
      <c r="C27" s="63">
        <f t="shared" si="1"/>
        <v>0</v>
      </c>
      <c r="F27" s="41"/>
      <c r="G27" s="55"/>
      <c r="H27" s="37">
        <f t="shared" si="0"/>
        <v>114.66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64">
        <v>59.58</v>
      </c>
      <c r="C28" s="27">
        <f t="shared" si="1"/>
        <v>0</v>
      </c>
      <c r="D28" s="54">
        <v>1830</v>
      </c>
      <c r="F28" s="44">
        <v>10.75</v>
      </c>
      <c r="G28" s="44">
        <v>1.75</v>
      </c>
      <c r="H28" s="37">
        <f t="shared" si="0"/>
        <v>47.08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57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602.69000000000005</v>
      </c>
      <c r="M29" s="39" t="s">
        <v>21</v>
      </c>
      <c r="P29" s="5">
        <v>2</v>
      </c>
      <c r="Q29" s="13">
        <v>6580</v>
      </c>
      <c r="R29" s="33">
        <f>+K29*R6</f>
        <v>482.15200000000004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114.74</v>
      </c>
      <c r="M31" s="5" t="s">
        <v>25</v>
      </c>
      <c r="P31" s="5">
        <v>2</v>
      </c>
      <c r="Q31" s="13">
        <v>6570</v>
      </c>
      <c r="R31" s="33">
        <f>+K31*$R$6</f>
        <v>91.792000000000002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B7+B8+B10-B11-B12-B13-B14-B15-B16-B19-B29-B20-B26-B25-B28-B17-B21-B18-B23-B22-B24+B30+B31-B27+B9</f>
        <v>20682.849999999995</v>
      </c>
      <c r="C32" s="72">
        <f>B32-F32-G32-H32</f>
        <v>-114.66000000000713</v>
      </c>
      <c r="D32" s="71"/>
      <c r="E32" s="71"/>
      <c r="F32" s="71">
        <f t="shared" ref="F32:G32" si="2">F7+F8+F10-F11-F12-F13-F14-F15-F16-F19-F29-F20-F26-F25-F28-F17-F21-F18-F23-F22-F24+F30+F31-F27+F9</f>
        <v>1678.62</v>
      </c>
      <c r="G32" s="71">
        <f t="shared" si="2"/>
        <v>8190.1</v>
      </c>
      <c r="H32" s="71">
        <f>H7+H8+H10-H11-H12-H13-H14-H15-H16-H19-H29-H20-H26-H25-H28-H17-H21-H18-H23-H22-H24+H30+H31</f>
        <v>10928.790000000003</v>
      </c>
      <c r="I32" s="12">
        <v>2</v>
      </c>
      <c r="J32" s="13">
        <v>6571</v>
      </c>
      <c r="K32" s="32">
        <f>G55</f>
        <v>264.12</v>
      </c>
      <c r="M32" s="43" t="s">
        <v>27</v>
      </c>
      <c r="P32" s="5">
        <v>2</v>
      </c>
      <c r="Q32" s="13">
        <v>6571</v>
      </c>
      <c r="R32" s="33">
        <f>+K32*$R$6</f>
        <v>211.29600000000002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>
        <f>SUM(R75:R81)</f>
        <v>0</v>
      </c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-13.32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-10.656000000000001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-1.75</v>
      </c>
      <c r="M36" s="5" t="s">
        <v>36</v>
      </c>
      <c r="O36" s="1"/>
      <c r="P36" s="5">
        <v>2</v>
      </c>
      <c r="Q36" s="13">
        <v>1830</v>
      </c>
      <c r="R36" s="33">
        <f>+K36*$R$6</f>
        <v>-1.4000000000000001</v>
      </c>
      <c r="S36" s="32"/>
    </row>
    <row r="37" spans="1:22" x14ac:dyDescent="0.25">
      <c r="A37" s="25" t="s">
        <v>66</v>
      </c>
      <c r="B37" s="80">
        <f>B11</f>
        <v>1680.86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1680.86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393.1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393.1</v>
      </c>
      <c r="I38" s="12">
        <v>2</v>
      </c>
      <c r="J38" s="13">
        <v>6300</v>
      </c>
      <c r="K38" s="84">
        <f>ROUND(G70,2)</f>
        <v>149.88999999999999</v>
      </c>
      <c r="M38" s="5" t="s">
        <v>40</v>
      </c>
      <c r="O38" s="1"/>
      <c r="P38" s="5">
        <v>2</v>
      </c>
      <c r="Q38" s="13">
        <v>6300</v>
      </c>
      <c r="R38" s="33">
        <f>+K38*$R$6</f>
        <v>119.91199999999999</v>
      </c>
      <c r="S38" s="32"/>
    </row>
    <row r="39" spans="1:22" x14ac:dyDescent="0.25">
      <c r="A39" s="34" t="s">
        <v>68</v>
      </c>
      <c r="B39" s="83">
        <f>B13</f>
        <v>2033.59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2033.59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1026.55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1026.55</v>
      </c>
      <c r="I40" s="85"/>
      <c r="J40" s="5">
        <v>2040</v>
      </c>
      <c r="K40" s="86">
        <f>SUM(K26:K39)</f>
        <v>9827.6</v>
      </c>
      <c r="N40" s="1">
        <v>2040</v>
      </c>
      <c r="O40" s="1"/>
      <c r="P40" s="5">
        <v>2</v>
      </c>
      <c r="Q40" s="5">
        <v>2040</v>
      </c>
      <c r="R40" s="86">
        <f>SUM(R26:R39)</f>
        <v>7862.0800000000017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1680.87</v>
      </c>
      <c r="C42" s="27">
        <f>B42-F42-G42-H42</f>
        <v>0</v>
      </c>
      <c r="D42" s="4">
        <v>6580</v>
      </c>
      <c r="F42" s="90">
        <v>113.38</v>
      </c>
      <c r="G42" s="90">
        <v>493.32</v>
      </c>
      <c r="H42" s="37">
        <f>B42-F42-G42</f>
        <v>1074.1699999999998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393.1</v>
      </c>
      <c r="C43" s="27">
        <f>B43-F43-G43-H43</f>
        <v>0</v>
      </c>
      <c r="D43" s="4">
        <v>6580</v>
      </c>
      <c r="F43" s="90">
        <v>26.62</v>
      </c>
      <c r="G43" s="90">
        <v>115.37</v>
      </c>
      <c r="H43" s="37">
        <f>B43-F43-G43</f>
        <v>251.11</v>
      </c>
      <c r="I43" s="12">
        <v>3</v>
      </c>
      <c r="J43" s="13">
        <v>6500</v>
      </c>
      <c r="K43" s="92">
        <f>F7+F31</f>
        <v>1930.58</v>
      </c>
      <c r="M43" s="5" t="s">
        <v>71</v>
      </c>
      <c r="O43" s="1"/>
      <c r="P43" s="5">
        <v>3</v>
      </c>
      <c r="Q43" s="13">
        <v>6500</v>
      </c>
      <c r="R43" s="33">
        <f>+K43*$R$6</f>
        <v>1544.4639999999999</v>
      </c>
      <c r="S43" s="32"/>
    </row>
    <row r="44" spans="1:22" x14ac:dyDescent="0.25">
      <c r="A44" s="34" t="s">
        <v>72</v>
      </c>
      <c r="B44" s="89">
        <v>9.1300000000000008</v>
      </c>
      <c r="C44" s="27">
        <f>B44-F44-G44-H44</f>
        <v>0</v>
      </c>
      <c r="D44" s="4">
        <v>6580</v>
      </c>
      <c r="F44" s="90"/>
      <c r="G44" s="91"/>
      <c r="H44" s="37">
        <f>B44-G44-F44</f>
        <v>9.1300000000000008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33.99</v>
      </c>
      <c r="C45" s="27">
        <f>B45-F45-G45-H45</f>
        <v>0</v>
      </c>
      <c r="D45" s="4">
        <v>6580</v>
      </c>
      <c r="F45" s="90"/>
      <c r="G45" s="94"/>
      <c r="H45" s="37">
        <f>B45-G45-F45</f>
        <v>33.99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1.48</v>
      </c>
      <c r="C46" s="27">
        <f>B46-F46-G46-H46</f>
        <v>0</v>
      </c>
      <c r="F46" s="96"/>
      <c r="G46" s="96"/>
      <c r="H46" s="37">
        <f>B46-G46-F46</f>
        <v>1.48</v>
      </c>
      <c r="I46" s="12">
        <v>3</v>
      </c>
      <c r="J46" s="13">
        <v>6580</v>
      </c>
      <c r="K46" s="32">
        <f>ROUND($F$42+$F$43+$F$44+$F$45-$F$15+$F$46,2)</f>
        <v>138.80000000000001</v>
      </c>
      <c r="M46" s="39" t="s">
        <v>21</v>
      </c>
      <c r="O46" s="1"/>
      <c r="P46" s="5">
        <v>3</v>
      </c>
      <c r="Q46" s="13">
        <v>6580</v>
      </c>
      <c r="R46" s="33">
        <f>+K46*$R$6</f>
        <v>111.04000000000002</v>
      </c>
      <c r="S46" s="32"/>
    </row>
    <row r="47" spans="1:22" ht="18.75" thickBot="1" x14ac:dyDescent="0.3">
      <c r="B47" s="97">
        <f>SUM(B42:B46)</f>
        <v>2118.5699999999997</v>
      </c>
      <c r="C47" s="27">
        <f>B48-F47-G47-H47</f>
        <v>0</v>
      </c>
      <c r="D47" s="7"/>
      <c r="E47" s="1"/>
      <c r="F47" s="97">
        <f>SUM(F37:F46)</f>
        <v>140</v>
      </c>
      <c r="G47" s="97">
        <f>SUM(G37:G46)</f>
        <v>608.69000000000005</v>
      </c>
      <c r="H47" s="71">
        <f>SUM(H37:H46)</f>
        <v>6503.98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7252.67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49.96</v>
      </c>
      <c r="M48" s="5" t="s">
        <v>40</v>
      </c>
      <c r="O48" s="1"/>
      <c r="P48" s="5">
        <v>3</v>
      </c>
      <c r="Q48" s="13">
        <v>6300</v>
      </c>
      <c r="R48" s="33">
        <f>+K48*$R$6</f>
        <v>39.968000000000004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-2.95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-2.3600000000000003</v>
      </c>
      <c r="S50" s="32"/>
    </row>
    <row r="51" spans="1:23" x14ac:dyDescent="0.25">
      <c r="A51" s="25" t="s">
        <v>78</v>
      </c>
      <c r="B51" s="80">
        <f>B23</f>
        <v>1433.81</v>
      </c>
      <c r="C51" s="106"/>
      <c r="D51" s="28">
        <v>6570</v>
      </c>
      <c r="E51" s="29"/>
      <c r="F51" s="81">
        <f>F23</f>
        <v>135.13999999999999</v>
      </c>
      <c r="G51" s="107">
        <f>G23</f>
        <v>514.73</v>
      </c>
      <c r="H51" s="31">
        <f>B51-G51-F51</f>
        <v>783.93999999999994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38.25</v>
      </c>
      <c r="M52" s="5" t="s">
        <v>25</v>
      </c>
      <c r="O52" s="1"/>
      <c r="P52" s="5">
        <v>3</v>
      </c>
      <c r="Q52" s="13">
        <v>6570</v>
      </c>
      <c r="R52" s="33">
        <f>+K52</f>
        <v>38.25</v>
      </c>
      <c r="S52" s="32"/>
    </row>
    <row r="53" spans="1:23" x14ac:dyDescent="0.25">
      <c r="A53" s="34" t="s">
        <v>60</v>
      </c>
      <c r="B53" s="108">
        <f>SUM(B51:B52)</f>
        <v>1433.81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77.23</v>
      </c>
      <c r="M53" s="5" t="s">
        <v>27</v>
      </c>
      <c r="O53" s="1"/>
      <c r="P53" s="5">
        <v>3</v>
      </c>
      <c r="Q53" s="13">
        <v>6571</v>
      </c>
      <c r="R53" s="33">
        <f>+K53</f>
        <v>77.23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877.53</v>
      </c>
      <c r="C55" s="111"/>
      <c r="D55" s="4">
        <v>6571</v>
      </c>
      <c r="F55" s="90">
        <v>77.23</v>
      </c>
      <c r="G55" s="90">
        <v>264.12</v>
      </c>
      <c r="H55" s="37">
        <f>B55-F55-G55</f>
        <v>536.17999999999995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151.08000000000001</v>
      </c>
      <c r="C56" s="111"/>
      <c r="D56" s="4">
        <v>6571</v>
      </c>
      <c r="F56" s="93"/>
      <c r="G56" s="93"/>
      <c r="H56" s="37">
        <f>B56-F56-G56</f>
        <v>151.08000000000001</v>
      </c>
      <c r="I56" s="12"/>
      <c r="J56" s="13"/>
      <c r="K56" s="86">
        <f>SUM(K43:K55)</f>
        <v>2221.1200000000003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1808.5920000000001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382.48</v>
      </c>
      <c r="C58" s="111"/>
      <c r="D58" s="4">
        <v>6570</v>
      </c>
      <c r="F58" s="88">
        <f>ROUND(B58*10%,2)</f>
        <v>38.25</v>
      </c>
      <c r="G58" s="88">
        <f>ROUND(B58*30%,2)</f>
        <v>114.74</v>
      </c>
      <c r="H58" s="37">
        <f>ROUND(B58-F58-G58,2)</f>
        <v>229.49</v>
      </c>
      <c r="I58" s="52">
        <v>1</v>
      </c>
      <c r="J58" s="10">
        <v>1012</v>
      </c>
      <c r="K58" s="113">
        <f>-(K23+K40+K56+K74+K84+K90)-K59</f>
        <v>-31813.180000000004</v>
      </c>
      <c r="M58" s="1"/>
      <c r="N58" s="32">
        <f>+'[9]1012-CNB Checking'!$F$82</f>
        <v>31813.18</v>
      </c>
      <c r="O58" s="114">
        <f>+K58+N58+K59</f>
        <v>-3.637978807091713E-12</v>
      </c>
      <c r="P58" s="32"/>
      <c r="R58" s="33"/>
    </row>
    <row r="59" spans="1:23" ht="18.75" thickTop="1" x14ac:dyDescent="0.25">
      <c r="A59" s="34" t="s">
        <v>48</v>
      </c>
      <c r="B59" s="83">
        <f>B24</f>
        <v>551.53</v>
      </c>
      <c r="C59" s="27"/>
      <c r="F59" s="88">
        <f>F24</f>
        <v>0</v>
      </c>
      <c r="G59" s="88">
        <f>G24</f>
        <v>123.58</v>
      </c>
      <c r="H59" s="37">
        <f>B59-F59-G59</f>
        <v>427.95</v>
      </c>
      <c r="I59" s="52">
        <v>1</v>
      </c>
      <c r="J59" s="10">
        <v>1012</v>
      </c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132.69</v>
      </c>
      <c r="C60" s="27"/>
      <c r="F60" s="88">
        <f>F25</f>
        <v>101.92</v>
      </c>
      <c r="G60" s="88">
        <f>G25</f>
        <v>0</v>
      </c>
      <c r="H60" s="37">
        <f>B60-F60-G60</f>
        <v>30.769999999999996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3378.0399999999995</v>
      </c>
      <c r="C61" s="117"/>
      <c r="D61" s="7"/>
      <c r="E61" s="1"/>
      <c r="F61" s="71">
        <f>F51+F55</f>
        <v>212.37</v>
      </c>
      <c r="G61" s="71">
        <f>G51+G55</f>
        <v>778.85</v>
      </c>
      <c r="H61" s="118">
        <f>B61-G61</f>
        <v>2599.1899999999996</v>
      </c>
      <c r="I61" s="115">
        <v>1</v>
      </c>
      <c r="J61" s="119">
        <v>1831</v>
      </c>
      <c r="K61" s="120">
        <v>85</v>
      </c>
      <c r="M61" s="5" t="s">
        <v>42</v>
      </c>
      <c r="O61" s="121"/>
      <c r="P61" s="115">
        <v>1</v>
      </c>
      <c r="Q61" s="119">
        <v>1831</v>
      </c>
      <c r="R61" s="16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/>
      <c r="M62" s="5" t="s">
        <v>132</v>
      </c>
      <c r="O62" s="1"/>
      <c r="P62" s="115">
        <v>1</v>
      </c>
      <c r="Q62" s="5">
        <v>6565</v>
      </c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85">
        <v>1</v>
      </c>
      <c r="Q63" s="5">
        <v>1831</v>
      </c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>
        <v>1</v>
      </c>
      <c r="Q64" s="5">
        <v>6630</v>
      </c>
      <c r="R64" s="16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>
        <f>131.44-11.54</f>
        <v>119.9</v>
      </c>
      <c r="M65" s="5" t="s">
        <v>90</v>
      </c>
      <c r="O65" s="1"/>
      <c r="P65" s="85">
        <v>1</v>
      </c>
      <c r="Q65" s="5">
        <v>6630</v>
      </c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747.34-K79</f>
        <v>620.63</v>
      </c>
      <c r="M66" s="5" t="s">
        <v>133</v>
      </c>
      <c r="O66" s="1"/>
      <c r="P66" s="85">
        <v>1</v>
      </c>
      <c r="Q66" s="5">
        <v>6551</v>
      </c>
      <c r="R66" s="16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>
        <v>1</v>
      </c>
      <c r="Q67" s="5">
        <v>6012</v>
      </c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>
        <f>497.85+1.77</f>
        <v>499.62</v>
      </c>
      <c r="C70" s="106"/>
      <c r="D70" s="28">
        <v>6300</v>
      </c>
      <c r="E70" s="29"/>
      <c r="F70" s="81">
        <f>B70*F69</f>
        <v>49.962000000000003</v>
      </c>
      <c r="G70" s="107">
        <f>B70*G69</f>
        <v>149.886</v>
      </c>
      <c r="H70" s="31">
        <f>B70*H69-0</f>
        <v>299.77199999999999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49.962000000000003</v>
      </c>
      <c r="G71" s="71">
        <f>G70</f>
        <v>149.886</v>
      </c>
      <c r="H71" s="118">
        <f>H70</f>
        <v>299.77199999999999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31313.56</v>
      </c>
      <c r="F74" s="6"/>
      <c r="I74" s="85" t="s">
        <v>97</v>
      </c>
      <c r="K74" s="129">
        <f>SUM(K61:K73)</f>
        <v>825.53</v>
      </c>
      <c r="O74" s="1"/>
      <c r="R74" s="162"/>
    </row>
    <row r="75" spans="1:20" ht="18.75" thickBot="1" x14ac:dyDescent="0.3">
      <c r="F75" s="6"/>
      <c r="I75" s="85">
        <v>2</v>
      </c>
      <c r="J75" s="167">
        <v>6565</v>
      </c>
      <c r="K75" s="120"/>
      <c r="M75" s="5" t="s">
        <v>132</v>
      </c>
      <c r="O75" s="1"/>
      <c r="P75" s="85">
        <v>2</v>
      </c>
      <c r="Q75" s="119" t="s">
        <v>107</v>
      </c>
      <c r="R75" s="163"/>
      <c r="S75" s="32"/>
    </row>
    <row r="76" spans="1:20" x14ac:dyDescent="0.25">
      <c r="A76" s="129" t="s">
        <v>99</v>
      </c>
      <c r="B76" s="26">
        <v>20531.77</v>
      </c>
      <c r="C76" s="130"/>
      <c r="D76" s="131" t="s">
        <v>100</v>
      </c>
      <c r="E76" s="6"/>
      <c r="F76" s="6"/>
      <c r="G76" s="132">
        <v>20531.77</v>
      </c>
      <c r="H76" s="6"/>
      <c r="I76" s="85">
        <v>2</v>
      </c>
      <c r="J76" s="119">
        <v>1831</v>
      </c>
      <c r="K76" s="120"/>
      <c r="M76" s="5" t="s">
        <v>42</v>
      </c>
      <c r="O76" s="1"/>
      <c r="P76" s="85">
        <v>2</v>
      </c>
      <c r="Q76" s="119">
        <v>1831</v>
      </c>
      <c r="R76" s="16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>
        <v>2</v>
      </c>
      <c r="Q77" s="5">
        <v>6630</v>
      </c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85">
        <v>2</v>
      </c>
      <c r="Q78" s="5">
        <v>6630</v>
      </c>
      <c r="R78" s="163"/>
      <c r="S78" s="32"/>
    </row>
    <row r="79" spans="1:20" ht="18.75" thickBot="1" x14ac:dyDescent="0.3">
      <c r="A79" s="134" t="s">
        <v>104</v>
      </c>
      <c r="B79" s="135">
        <f>ROUND(SUM(B76:B78),2)</f>
        <v>20531.77</v>
      </c>
      <c r="C79" s="130"/>
      <c r="D79" s="131"/>
      <c r="E79" s="6"/>
      <c r="F79" s="6"/>
      <c r="G79" s="129">
        <f>SUM(G76:G78)</f>
        <v>20531.77</v>
      </c>
      <c r="H79" s="6" t="s">
        <v>105</v>
      </c>
      <c r="I79" s="85">
        <v>2</v>
      </c>
      <c r="J79" s="5">
        <v>6551</v>
      </c>
      <c r="K79" s="120">
        <v>126.71</v>
      </c>
      <c r="M79" s="5" t="s">
        <v>91</v>
      </c>
      <c r="O79" s="1"/>
      <c r="P79" s="85">
        <v>2</v>
      </c>
      <c r="Q79" s="5">
        <v>6551</v>
      </c>
      <c r="R79" s="163"/>
      <c r="S79" s="32"/>
    </row>
    <row r="80" spans="1:20" ht="18.75" thickBot="1" x14ac:dyDescent="0.3">
      <c r="A80" s="1" t="s">
        <v>106</v>
      </c>
      <c r="B80" s="26">
        <v>31313.56</v>
      </c>
      <c r="H80" s="128" t="str">
        <f>IF(B79-G79=0,"ok","NO")</f>
        <v>ok</v>
      </c>
      <c r="I80" s="85">
        <v>2</v>
      </c>
      <c r="J80" s="5">
        <v>6040</v>
      </c>
      <c r="K80" s="120"/>
      <c r="M80" s="5" t="s">
        <v>131</v>
      </c>
      <c r="O80" s="1"/>
      <c r="P80" s="85">
        <v>2</v>
      </c>
      <c r="Q80" s="5">
        <v>6040</v>
      </c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162"/>
      <c r="S81" s="32"/>
    </row>
    <row r="82" spans="1:19" ht="18.75" thickBot="1" x14ac:dyDescent="0.3">
      <c r="B82" s="3">
        <f>+B80+B81</f>
        <v>31313.56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138.25</v>
      </c>
      <c r="O84" s="1"/>
      <c r="P84" s="5">
        <v>3</v>
      </c>
      <c r="Q84" s="5">
        <v>6551</v>
      </c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164"/>
      <c r="S85" s="32"/>
    </row>
    <row r="86" spans="1:19" s="33" customFormat="1" x14ac:dyDescent="0.25">
      <c r="A86" s="5"/>
      <c r="B86" s="32">
        <f>+B83+O58</f>
        <v>-3.637978807091713E-12</v>
      </c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132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963.78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7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1AD8-3BEF-4784-961C-EDA68D65C32D}">
  <sheetPr>
    <tabColor rgb="FF00B050"/>
    <pageSetUpPr fitToPage="1"/>
  </sheetPr>
  <dimension ref="A2:Z99"/>
  <sheetViews>
    <sheetView zoomScale="70" zoomScaleNormal="70" zoomScalePageLayoutView="70" workbookViewId="0">
      <selection activeCell="B77" sqref="B77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5.37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0.125" style="5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43699</v>
      </c>
      <c r="K2" s="9"/>
      <c r="M2" s="5" t="s">
        <v>1</v>
      </c>
    </row>
    <row r="3" spans="1:19" x14ac:dyDescent="0.25">
      <c r="A3" s="10" t="s">
        <v>2</v>
      </c>
      <c r="B3" s="8">
        <v>43693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0.8</v>
      </c>
    </row>
    <row r="7" spans="1:19" x14ac:dyDescent="0.25">
      <c r="A7" s="25" t="s">
        <v>14</v>
      </c>
      <c r="B7" s="26">
        <v>13796.08</v>
      </c>
      <c r="C7" s="27">
        <f>B7-F7-G7-H7</f>
        <v>0</v>
      </c>
      <c r="D7" s="28">
        <v>6500</v>
      </c>
      <c r="E7" s="29"/>
      <c r="F7" s="30">
        <v>810.35</v>
      </c>
      <c r="G7" s="30">
        <v>5257.21</v>
      </c>
      <c r="H7" s="31">
        <f t="shared" ref="H7:H31" si="0">B7-F7-G7</f>
        <v>7728.5199999999995</v>
      </c>
      <c r="I7" s="12">
        <v>1</v>
      </c>
      <c r="J7" s="13">
        <v>6500</v>
      </c>
      <c r="K7" s="32">
        <f>H7+H31</f>
        <v>7728.5199999999995</v>
      </c>
      <c r="M7" s="5" t="s">
        <v>15</v>
      </c>
      <c r="P7" s="5">
        <v>1</v>
      </c>
      <c r="Q7" s="13">
        <v>6500</v>
      </c>
      <c r="R7" s="33">
        <f>+K7*$R$6</f>
        <v>6182.8159999999998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/>
      <c r="C10" s="27"/>
      <c r="D10" s="4">
        <v>6040</v>
      </c>
      <c r="F10" s="35"/>
      <c r="G10" s="35"/>
      <c r="H10" s="37">
        <f t="shared" si="0"/>
        <v>0</v>
      </c>
      <c r="I10" s="12">
        <v>1</v>
      </c>
      <c r="J10" s="13">
        <v>6580</v>
      </c>
      <c r="K10" s="32">
        <f>ROUND($H$42+$H$43+$H$44+$H$45-$H$15+$H$46,2)</f>
        <v>685.29</v>
      </c>
      <c r="M10" s="39" t="s">
        <v>21</v>
      </c>
      <c r="P10" s="5">
        <v>1</v>
      </c>
      <c r="Q10" s="13">
        <v>6580</v>
      </c>
      <c r="R10" s="33">
        <f>+K10*$R$6</f>
        <v>548.23199999999997</v>
      </c>
      <c r="S10" s="32"/>
    </row>
    <row r="11" spans="1:19" x14ac:dyDescent="0.25">
      <c r="A11" s="34" t="s">
        <v>22</v>
      </c>
      <c r="B11" s="40">
        <v>848.86</v>
      </c>
      <c r="C11" s="27">
        <f t="shared" ref="C11:C30" si="1">B11-F11-G11-H11</f>
        <v>0</v>
      </c>
      <c r="D11" s="4">
        <v>2100</v>
      </c>
      <c r="F11" s="41"/>
      <c r="G11" s="41"/>
      <c r="H11" s="37">
        <f t="shared" si="0"/>
        <v>848.86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198.52</v>
      </c>
      <c r="C12" s="27">
        <f t="shared" si="1"/>
        <v>0</v>
      </c>
      <c r="D12" s="4">
        <v>2100</v>
      </c>
      <c r="F12" s="41"/>
      <c r="G12" s="41"/>
      <c r="H12" s="37">
        <f t="shared" si="0"/>
        <v>198.52</v>
      </c>
      <c r="I12" s="12">
        <v>1</v>
      </c>
      <c r="J12" s="13">
        <v>6570</v>
      </c>
      <c r="K12" s="32">
        <f>-H23+H51+H58</f>
        <v>174.47999999999996</v>
      </c>
      <c r="M12" s="5" t="s">
        <v>25</v>
      </c>
      <c r="P12" s="5">
        <v>1</v>
      </c>
      <c r="Q12" s="13">
        <v>6570</v>
      </c>
      <c r="R12" s="33">
        <f>+K12*R6</f>
        <v>139.58399999999997</v>
      </c>
      <c r="S12" s="32"/>
    </row>
    <row r="13" spans="1:19" x14ac:dyDescent="0.25">
      <c r="A13" s="34" t="s">
        <v>26</v>
      </c>
      <c r="B13" s="42">
        <v>900.76</v>
      </c>
      <c r="C13" s="27">
        <f t="shared" si="1"/>
        <v>0</v>
      </c>
      <c r="D13" s="4">
        <v>2110</v>
      </c>
      <c r="F13" s="41"/>
      <c r="G13" s="41"/>
      <c r="H13" s="37">
        <f t="shared" si="0"/>
        <v>900.76</v>
      </c>
      <c r="I13" s="12">
        <v>1</v>
      </c>
      <c r="J13" s="13">
        <v>6571</v>
      </c>
      <c r="K13" s="32">
        <f>ROUND(H55,2)</f>
        <v>184.91</v>
      </c>
      <c r="M13" s="43" t="s">
        <v>27</v>
      </c>
      <c r="P13" s="5">
        <v>1</v>
      </c>
      <c r="Q13" s="13">
        <v>6571</v>
      </c>
      <c r="R13" s="33">
        <f>+K13*$R$6</f>
        <v>147.928</v>
      </c>
      <c r="S13" s="32"/>
    </row>
    <row r="14" spans="1:19" x14ac:dyDescent="0.25">
      <c r="A14" s="34" t="s">
        <v>28</v>
      </c>
      <c r="B14" s="42">
        <v>499.09</v>
      </c>
      <c r="C14" s="27">
        <f t="shared" si="1"/>
        <v>0</v>
      </c>
      <c r="D14" s="4">
        <v>2120</v>
      </c>
      <c r="F14" s="41"/>
      <c r="G14" s="41"/>
      <c r="H14" s="37">
        <f t="shared" si="0"/>
        <v>499.09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3.6</v>
      </c>
      <c r="C15" s="27">
        <f t="shared" si="1"/>
        <v>0</v>
      </c>
      <c r="D15" s="4">
        <v>6580</v>
      </c>
      <c r="F15" s="44">
        <v>1.2</v>
      </c>
      <c r="G15" s="44">
        <v>1.2</v>
      </c>
      <c r="H15" s="37">
        <f t="shared" si="0"/>
        <v>1.2000000000000004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>
        <f>SUM(R61:R66)</f>
        <v>0</v>
      </c>
    </row>
    <row r="16" spans="1:19" ht="18.75" thickBot="1" x14ac:dyDescent="0.3">
      <c r="A16" s="34" t="s">
        <v>33</v>
      </c>
      <c r="B16" s="51">
        <v>21.12</v>
      </c>
      <c r="C16" s="27">
        <f t="shared" si="1"/>
        <v>0</v>
      </c>
      <c r="D16" s="7">
        <v>2120</v>
      </c>
      <c r="F16" s="44">
        <v>2.95</v>
      </c>
      <c r="G16" s="44">
        <v>6.77</v>
      </c>
      <c r="H16" s="37">
        <f t="shared" si="0"/>
        <v>11.400000000000002</v>
      </c>
      <c r="I16" s="52">
        <v>1</v>
      </c>
      <c r="J16" s="10">
        <v>2120</v>
      </c>
      <c r="K16" s="21">
        <f>-H16</f>
        <v>-11.400000000000002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-9.1200000000000028</v>
      </c>
      <c r="S16" s="32"/>
    </row>
    <row r="17" spans="1:26" x14ac:dyDescent="0.25">
      <c r="A17" s="34" t="s">
        <v>35</v>
      </c>
      <c r="B17" s="40">
        <v>14.64</v>
      </c>
      <c r="C17" s="27">
        <f t="shared" si="1"/>
        <v>0</v>
      </c>
      <c r="D17" s="54">
        <v>1830</v>
      </c>
      <c r="F17" s="41"/>
      <c r="G17" s="55"/>
      <c r="H17" s="37">
        <f t="shared" si="0"/>
        <v>14.64</v>
      </c>
      <c r="I17" s="12">
        <v>1</v>
      </c>
      <c r="J17" s="13">
        <v>1830</v>
      </c>
      <c r="K17" s="56">
        <f>ROUND(-H20-H27-H17-H18-H21-H26-H28,2)</f>
        <v>-225.71</v>
      </c>
      <c r="M17" s="5" t="s">
        <v>36</v>
      </c>
      <c r="P17" s="5">
        <v>1</v>
      </c>
      <c r="Q17" s="13">
        <v>1830</v>
      </c>
      <c r="R17" s="33">
        <f>+K17*$R$6</f>
        <v>-180.56800000000001</v>
      </c>
      <c r="S17" s="32"/>
    </row>
    <row r="18" spans="1:26" x14ac:dyDescent="0.25">
      <c r="A18" s="34" t="s">
        <v>37</v>
      </c>
      <c r="B18" s="42">
        <v>59.88</v>
      </c>
      <c r="C18" s="27">
        <f t="shared" si="1"/>
        <v>0</v>
      </c>
      <c r="D18" s="54">
        <v>1830</v>
      </c>
      <c r="F18" s="41"/>
      <c r="G18" s="44"/>
      <c r="H18" s="37">
        <f t="shared" si="0"/>
        <v>59.88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42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0</v>
      </c>
      <c r="M19" s="5" t="s">
        <v>40</v>
      </c>
      <c r="P19" s="5">
        <v>1</v>
      </c>
      <c r="Q19" s="13">
        <v>6300</v>
      </c>
      <c r="R19" s="33">
        <f>+K19*$R$6</f>
        <v>0</v>
      </c>
      <c r="S19" s="32"/>
    </row>
    <row r="20" spans="1:26" x14ac:dyDescent="0.25">
      <c r="A20" s="34" t="s">
        <v>41</v>
      </c>
      <c r="B20" s="42">
        <v>55.38</v>
      </c>
      <c r="C20" s="27">
        <f t="shared" si="1"/>
        <v>0</v>
      </c>
      <c r="D20" s="4">
        <v>1830</v>
      </c>
      <c r="F20" s="41"/>
      <c r="G20" s="44"/>
      <c r="H20" s="37">
        <f t="shared" si="0"/>
        <v>55.38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42">
        <v>50.4</v>
      </c>
      <c r="C21" s="27">
        <f t="shared" si="1"/>
        <v>0</v>
      </c>
      <c r="D21" s="54">
        <v>1830</v>
      </c>
      <c r="F21" s="41"/>
      <c r="G21" s="44"/>
      <c r="H21" s="37">
        <f t="shared" si="0"/>
        <v>50.4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42"/>
      <c r="C22" s="27">
        <f t="shared" si="1"/>
        <v>0</v>
      </c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42">
        <v>395.07</v>
      </c>
      <c r="C23" s="27">
        <f t="shared" si="1"/>
        <v>0</v>
      </c>
      <c r="D23" s="4">
        <v>6570</v>
      </c>
      <c r="F23" s="44">
        <v>37.340000000000003</v>
      </c>
      <c r="G23" s="44">
        <v>105.24</v>
      </c>
      <c r="H23" s="37">
        <f t="shared" si="0"/>
        <v>252.49</v>
      </c>
      <c r="I23" s="12"/>
      <c r="J23" s="13"/>
      <c r="K23" s="59">
        <f>SUM(K7:K22)</f>
        <v>8536.09</v>
      </c>
      <c r="N23" s="1">
        <v>2040</v>
      </c>
      <c r="P23" s="5">
        <v>1</v>
      </c>
      <c r="Q23" s="13">
        <v>2040</v>
      </c>
      <c r="R23" s="60">
        <f>SUM(R7:R22)</f>
        <v>6828.8719999999994</v>
      </c>
      <c r="S23" s="6"/>
      <c r="V23" s="32"/>
    </row>
    <row r="24" spans="1:26" ht="18.75" thickTop="1" x14ac:dyDescent="0.25">
      <c r="A24" s="34" t="s">
        <v>48</v>
      </c>
      <c r="B24" s="42"/>
      <c r="C24" s="27">
        <f t="shared" si="1"/>
        <v>0</v>
      </c>
      <c r="F24" s="41"/>
      <c r="G24" s="44"/>
      <c r="H24" s="37">
        <f t="shared" si="0"/>
        <v>0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42"/>
      <c r="C25" s="27">
        <f t="shared" si="1"/>
        <v>0</v>
      </c>
      <c r="F25" s="44"/>
      <c r="G25" s="44"/>
      <c r="H25" s="37">
        <f t="shared" si="0"/>
        <v>0</v>
      </c>
      <c r="I25" s="61">
        <v>2</v>
      </c>
      <c r="J25" s="62"/>
      <c r="K25" s="32"/>
      <c r="Q25" s="62"/>
      <c r="R25" s="33"/>
      <c r="V25" s="32"/>
    </row>
    <row r="26" spans="1:26" x14ac:dyDescent="0.25">
      <c r="A26" s="34" t="s">
        <v>50</v>
      </c>
      <c r="B26" s="42">
        <v>34.68</v>
      </c>
      <c r="C26" s="27">
        <f t="shared" si="1"/>
        <v>0</v>
      </c>
      <c r="D26" s="54">
        <v>1830</v>
      </c>
      <c r="F26" s="41"/>
      <c r="G26" s="55"/>
      <c r="H26" s="37">
        <f t="shared" si="0"/>
        <v>34.68</v>
      </c>
      <c r="I26" s="12">
        <v>2</v>
      </c>
      <c r="J26" s="13">
        <v>6500</v>
      </c>
      <c r="K26" s="32">
        <f>G7+G31</f>
        <v>5257.21</v>
      </c>
      <c r="M26" s="5" t="s">
        <v>51</v>
      </c>
      <c r="O26" s="32"/>
      <c r="P26" s="5">
        <v>2</v>
      </c>
      <c r="Q26" s="13">
        <v>6500</v>
      </c>
      <c r="R26" s="33">
        <f>+K26*R6</f>
        <v>4205.768</v>
      </c>
      <c r="S26" s="32"/>
      <c r="X26" s="32"/>
    </row>
    <row r="27" spans="1:26" x14ac:dyDescent="0.25">
      <c r="A27" s="34" t="s">
        <v>52</v>
      </c>
      <c r="B27" s="42"/>
      <c r="C27" s="63">
        <f t="shared" si="1"/>
        <v>0</v>
      </c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51">
        <v>27.37</v>
      </c>
      <c r="C28" s="27">
        <f t="shared" si="1"/>
        <v>0</v>
      </c>
      <c r="D28" s="54">
        <v>1830</v>
      </c>
      <c r="F28" s="44"/>
      <c r="G28" s="44">
        <v>16.64</v>
      </c>
      <c r="H28" s="37">
        <f t="shared" si="0"/>
        <v>10.73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168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329.42</v>
      </c>
      <c r="M29" s="39" t="s">
        <v>21</v>
      </c>
      <c r="P29" s="5">
        <v>2</v>
      </c>
      <c r="Q29" s="13">
        <v>6580</v>
      </c>
      <c r="R29" s="33">
        <f>+K29*R6</f>
        <v>263.536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87.24</v>
      </c>
      <c r="M31" s="5" t="s">
        <v>25</v>
      </c>
      <c r="P31" s="5">
        <v>2</v>
      </c>
      <c r="Q31" s="13">
        <v>6570</v>
      </c>
      <c r="R31" s="33">
        <f>+K31*$R$6</f>
        <v>69.792000000000002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B7+B8+B10-B11-B12-B13-B14-B15-B16-B19-B29-B20-B26-B25-B28-B17-B21-B18-B23-B22-B24+B30+B31-B27+B9</f>
        <v>10686.71</v>
      </c>
      <c r="C32" s="72">
        <f>B32-F32-G32-H32</f>
        <v>0</v>
      </c>
      <c r="D32" s="71"/>
      <c r="E32" s="71"/>
      <c r="F32" s="71">
        <f t="shared" ref="F32:G32" si="2">F7+F8+F10-F11-F12-F13-F14-F15-F16-F19-F29-F20-F26-F25-F28-F17-F21-F18-F23-F22-F24+F30+F31-F27+F9</f>
        <v>768.8599999999999</v>
      </c>
      <c r="G32" s="71">
        <f t="shared" si="2"/>
        <v>5127.3599999999997</v>
      </c>
      <c r="H32" s="71">
        <f>H7+H8+H10-H11-H12-H13-H14-H15-H16-H19-H29-H20-H26-H25-H28-H17-H21-H18-H23-H22-H24+H30+H31</f>
        <v>4790.49</v>
      </c>
      <c r="I32" s="12">
        <v>2</v>
      </c>
      <c r="J32" s="13">
        <v>6571</v>
      </c>
      <c r="K32" s="32">
        <f>G55</f>
        <v>105.24</v>
      </c>
      <c r="M32" s="43" t="s">
        <v>27</v>
      </c>
      <c r="P32" s="5">
        <v>2</v>
      </c>
      <c r="Q32" s="13">
        <v>6571</v>
      </c>
      <c r="R32" s="33">
        <f>+K32*$R$6</f>
        <v>84.192000000000007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>
        <f>SUM(R75:R81)</f>
        <v>0</v>
      </c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-6.77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-5.4160000000000004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-16.64</v>
      </c>
      <c r="M36" s="5" t="s">
        <v>36</v>
      </c>
      <c r="O36" s="1"/>
      <c r="P36" s="5">
        <v>2</v>
      </c>
      <c r="Q36" s="13">
        <v>1830</v>
      </c>
      <c r="R36" s="33">
        <f>+K36*$R$6</f>
        <v>-13.312000000000001</v>
      </c>
      <c r="S36" s="32"/>
    </row>
    <row r="37" spans="1:22" x14ac:dyDescent="0.25">
      <c r="A37" s="25" t="s">
        <v>66</v>
      </c>
      <c r="B37" s="80">
        <f>B11</f>
        <v>848.86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848.86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198.52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198.52</v>
      </c>
      <c r="I38" s="12">
        <v>2</v>
      </c>
      <c r="J38" s="13">
        <v>6300</v>
      </c>
      <c r="K38" s="84">
        <f>ROUND(G70,2)</f>
        <v>0</v>
      </c>
      <c r="M38" s="5" t="s">
        <v>40</v>
      </c>
      <c r="O38" s="1"/>
      <c r="P38" s="5">
        <v>2</v>
      </c>
      <c r="Q38" s="13">
        <v>6300</v>
      </c>
      <c r="R38" s="33">
        <f>+K38*$R$6</f>
        <v>0</v>
      </c>
      <c r="S38" s="32"/>
    </row>
    <row r="39" spans="1:22" x14ac:dyDescent="0.25">
      <c r="A39" s="34" t="s">
        <v>68</v>
      </c>
      <c r="B39" s="83">
        <f>B13</f>
        <v>900.76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900.76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499.09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499.09</v>
      </c>
      <c r="I40" s="85"/>
      <c r="J40" s="5">
        <v>2040</v>
      </c>
      <c r="K40" s="86">
        <f>SUM(K26:K39)</f>
        <v>5755.6999999999989</v>
      </c>
      <c r="N40" s="1">
        <v>2040</v>
      </c>
      <c r="O40" s="1"/>
      <c r="P40" s="5">
        <v>2</v>
      </c>
      <c r="Q40" s="5">
        <v>2040</v>
      </c>
      <c r="R40" s="86">
        <f>SUM(R26:R39)</f>
        <v>4604.5600000000004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848.86</v>
      </c>
      <c r="C42" s="27">
        <f>B42-F42-G42-H42</f>
        <v>0</v>
      </c>
      <c r="D42" s="4">
        <v>6580</v>
      </c>
      <c r="F42" s="90">
        <v>33.07</v>
      </c>
      <c r="G42" s="90">
        <v>267.95</v>
      </c>
      <c r="H42" s="37">
        <f>B42-F42-G42</f>
        <v>547.83999999999992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198.53</v>
      </c>
      <c r="C43" s="27">
        <f>B43-F43-G43-H43</f>
        <v>0</v>
      </c>
      <c r="D43" s="4">
        <v>6580</v>
      </c>
      <c r="F43" s="90">
        <v>7.73</v>
      </c>
      <c r="G43" s="90">
        <v>62.67</v>
      </c>
      <c r="H43" s="37">
        <f>B43-F43-G43</f>
        <v>128.13</v>
      </c>
      <c r="I43" s="12">
        <v>3</v>
      </c>
      <c r="J43" s="13">
        <v>6500</v>
      </c>
      <c r="K43" s="92">
        <f>F7+F31</f>
        <v>810.35</v>
      </c>
      <c r="M43" s="5" t="s">
        <v>71</v>
      </c>
      <c r="O43" s="1"/>
      <c r="P43" s="5">
        <v>3</v>
      </c>
      <c r="Q43" s="13">
        <v>6500</v>
      </c>
      <c r="R43" s="33">
        <f>+K43*$R$6</f>
        <v>648.28000000000009</v>
      </c>
      <c r="S43" s="32"/>
    </row>
    <row r="44" spans="1:22" x14ac:dyDescent="0.25">
      <c r="A44" s="34" t="s">
        <v>72</v>
      </c>
      <c r="B44" s="89">
        <v>2.63</v>
      </c>
      <c r="C44" s="27">
        <f>B44-F44-G44-H44</f>
        <v>0</v>
      </c>
      <c r="D44" s="4">
        <v>6580</v>
      </c>
      <c r="F44" s="90"/>
      <c r="G44" s="91"/>
      <c r="H44" s="37">
        <f>B44-G44-F44</f>
        <v>2.63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7.56</v>
      </c>
      <c r="C45" s="27">
        <f>B45-F45-G45-H45</f>
        <v>0</v>
      </c>
      <c r="D45" s="4">
        <v>6580</v>
      </c>
      <c r="F45" s="90"/>
      <c r="G45" s="94"/>
      <c r="H45" s="37">
        <f>B45-G45-F45</f>
        <v>7.56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0.33</v>
      </c>
      <c r="C46" s="27">
        <f>B46-F46-G46-H46</f>
        <v>0</v>
      </c>
      <c r="F46" s="96"/>
      <c r="G46" s="96"/>
      <c r="H46" s="37">
        <f>B46-G46-F46</f>
        <v>0.33</v>
      </c>
      <c r="I46" s="12">
        <v>3</v>
      </c>
      <c r="J46" s="13">
        <v>6580</v>
      </c>
      <c r="K46" s="32">
        <f>ROUND($F$42+$F$43+$F$44+$F$45-$F$15+$F$46,2)</f>
        <v>39.6</v>
      </c>
      <c r="M46" s="39" t="s">
        <v>21</v>
      </c>
      <c r="O46" s="1"/>
      <c r="P46" s="5">
        <v>3</v>
      </c>
      <c r="Q46" s="13">
        <v>6580</v>
      </c>
      <c r="R46" s="33">
        <f>+K46*$R$6</f>
        <v>31.680000000000003</v>
      </c>
      <c r="S46" s="32"/>
    </row>
    <row r="47" spans="1:22" ht="18.75" thickBot="1" x14ac:dyDescent="0.3">
      <c r="B47" s="97">
        <f>SUM(B42:B46)</f>
        <v>1057.9100000000001</v>
      </c>
      <c r="C47" s="27">
        <f>B48-F47-G47-H47</f>
        <v>0</v>
      </c>
      <c r="D47" s="7"/>
      <c r="E47" s="1"/>
      <c r="F47" s="97">
        <f>SUM(F37:F46)</f>
        <v>40.799999999999997</v>
      </c>
      <c r="G47" s="97">
        <f>SUM(G37:G46)</f>
        <v>330.62</v>
      </c>
      <c r="H47" s="71">
        <f>SUM(H37:H46)</f>
        <v>3133.72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3505.1400000000003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0</v>
      </c>
      <c r="M48" s="5" t="s">
        <v>40</v>
      </c>
      <c r="O48" s="1"/>
      <c r="P48" s="5">
        <v>3</v>
      </c>
      <c r="Q48" s="13">
        <v>6300</v>
      </c>
      <c r="R48" s="33">
        <f>+K48*$R$6</f>
        <v>0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-2.95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-2.3600000000000003</v>
      </c>
      <c r="S50" s="32"/>
    </row>
    <row r="51" spans="1:23" x14ac:dyDescent="0.25">
      <c r="A51" s="25" t="s">
        <v>78</v>
      </c>
      <c r="B51" s="80">
        <f>B23</f>
        <v>395.07</v>
      </c>
      <c r="C51" s="106"/>
      <c r="D51" s="28">
        <v>6570</v>
      </c>
      <c r="E51" s="29"/>
      <c r="F51" s="81">
        <f>F23</f>
        <v>37.340000000000003</v>
      </c>
      <c r="G51" s="107">
        <f>G23</f>
        <v>105.24</v>
      </c>
      <c r="H51" s="31">
        <f>B51-G51-F51</f>
        <v>252.48999999999998</v>
      </c>
      <c r="I51" s="12">
        <v>3</v>
      </c>
      <c r="J51" s="13">
        <v>1830</v>
      </c>
      <c r="K51" s="56">
        <f>-ROUND(F28,2)</f>
        <v>0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29.08</v>
      </c>
      <c r="M52" s="5" t="s">
        <v>25</v>
      </c>
      <c r="O52" s="1"/>
      <c r="P52" s="5">
        <v>3</v>
      </c>
      <c r="Q52" s="13">
        <v>6570</v>
      </c>
      <c r="R52" s="33">
        <f>+K52</f>
        <v>29.08</v>
      </c>
      <c r="S52" s="32"/>
    </row>
    <row r="53" spans="1:23" x14ac:dyDescent="0.25">
      <c r="A53" s="34" t="s">
        <v>60</v>
      </c>
      <c r="B53" s="108">
        <f>SUM(B51:B52)</f>
        <v>395.07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21.33</v>
      </c>
      <c r="M53" s="5" t="s">
        <v>27</v>
      </c>
      <c r="O53" s="1"/>
      <c r="P53" s="5">
        <v>3</v>
      </c>
      <c r="Q53" s="13">
        <v>6571</v>
      </c>
      <c r="R53" s="33">
        <f>+K53</f>
        <v>21.33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311.48</v>
      </c>
      <c r="C55" s="111"/>
      <c r="D55" s="4">
        <v>6571</v>
      </c>
      <c r="F55" s="90">
        <v>21.33</v>
      </c>
      <c r="G55" s="90">
        <v>105.24</v>
      </c>
      <c r="H55" s="37">
        <f>B55-F55-G55</f>
        <v>184.91000000000003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/>
      <c r="C56" s="111"/>
      <c r="D56" s="4">
        <v>6571</v>
      </c>
      <c r="F56" s="93"/>
      <c r="G56" s="93"/>
      <c r="H56" s="37">
        <f>B56-F56-G56</f>
        <v>0</v>
      </c>
      <c r="I56" s="12"/>
      <c r="J56" s="13"/>
      <c r="K56" s="86">
        <f>SUM(K43:K55)</f>
        <v>897.41000000000008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728.0100000000001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290.8</v>
      </c>
      <c r="C58" s="111"/>
      <c r="D58" s="4">
        <v>6570</v>
      </c>
      <c r="F58" s="88">
        <f>ROUND(B58*10%,2)</f>
        <v>29.08</v>
      </c>
      <c r="G58" s="88">
        <f>ROUND(B58*30%,2)</f>
        <v>87.24</v>
      </c>
      <c r="H58" s="37">
        <f>ROUND(B58-F58-G58,2)</f>
        <v>174.48</v>
      </c>
      <c r="I58" s="52">
        <v>1</v>
      </c>
      <c r="J58" s="10">
        <v>1012</v>
      </c>
      <c r="K58" s="113">
        <f>-(K23+K40+K56+K74+K84+K90)-K59</f>
        <v>-15189.199999999999</v>
      </c>
      <c r="M58" s="1"/>
      <c r="N58" s="32">
        <f>+'[9]1012-CNB Checking'!$F$93</f>
        <v>15189.2</v>
      </c>
      <c r="O58" s="114">
        <f>+K58+N58+K59</f>
        <v>1.8189894035458565E-12</v>
      </c>
      <c r="P58" s="32"/>
      <c r="R58" s="33"/>
    </row>
    <row r="59" spans="1:23" ht="18.75" thickTop="1" x14ac:dyDescent="0.25">
      <c r="A59" s="34" t="s">
        <v>48</v>
      </c>
      <c r="B59" s="83">
        <f>B24</f>
        <v>0</v>
      </c>
      <c r="C59" s="27"/>
      <c r="F59" s="88">
        <f>F24</f>
        <v>0</v>
      </c>
      <c r="G59" s="88">
        <f>G24</f>
        <v>0</v>
      </c>
      <c r="H59" s="37">
        <f>B59-F59-G59</f>
        <v>0</v>
      </c>
      <c r="I59" s="52">
        <v>1</v>
      </c>
      <c r="J59" s="10">
        <v>1012</v>
      </c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997.34999999999991</v>
      </c>
      <c r="C61" s="117"/>
      <c r="D61" s="7"/>
      <c r="E61" s="1"/>
      <c r="F61" s="71">
        <f>F51+F55</f>
        <v>58.67</v>
      </c>
      <c r="G61" s="71">
        <f>G51+G55</f>
        <v>210.48</v>
      </c>
      <c r="H61" s="118">
        <f>B61-G61</f>
        <v>786.86999999999989</v>
      </c>
      <c r="I61" s="115">
        <v>1</v>
      </c>
      <c r="J61" s="119">
        <v>1831</v>
      </c>
      <c r="K61" s="120"/>
      <c r="M61" s="5" t="s">
        <v>42</v>
      </c>
      <c r="O61" s="121"/>
      <c r="P61" s="115">
        <v>1</v>
      </c>
      <c r="Q61" s="119">
        <v>1831</v>
      </c>
      <c r="R61" s="16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/>
      <c r="M62" s="5" t="s">
        <v>132</v>
      </c>
      <c r="O62" s="1"/>
      <c r="P62" s="115">
        <v>1</v>
      </c>
      <c r="Q62" s="5">
        <v>6565</v>
      </c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85">
        <v>1</v>
      </c>
      <c r="Q63" s="5">
        <v>1831</v>
      </c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>
        <v>1</v>
      </c>
      <c r="Q64" s="5">
        <v>6630</v>
      </c>
      <c r="R64" s="16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/>
      <c r="M65" s="5" t="s">
        <v>90</v>
      </c>
      <c r="O65" s="1"/>
      <c r="P65" s="85">
        <v>1</v>
      </c>
      <c r="Q65" s="5">
        <v>6630</v>
      </c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/>
      <c r="M66" s="5" t="s">
        <v>133</v>
      </c>
      <c r="O66" s="1"/>
      <c r="P66" s="85">
        <v>1</v>
      </c>
      <c r="Q66" s="5">
        <v>6551</v>
      </c>
      <c r="R66" s="16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>
        <v>1</v>
      </c>
      <c r="Q67" s="5">
        <v>6012</v>
      </c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/>
      <c r="C70" s="106"/>
      <c r="D70" s="28">
        <v>6300</v>
      </c>
      <c r="E70" s="29"/>
      <c r="F70" s="81">
        <f>B70*F69</f>
        <v>0</v>
      </c>
      <c r="G70" s="107">
        <f>B70*G69</f>
        <v>0</v>
      </c>
      <c r="H70" s="31">
        <f>B70*H69-0</f>
        <v>0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0</v>
      </c>
      <c r="G71" s="71">
        <f>G70</f>
        <v>0</v>
      </c>
      <c r="H71" s="118">
        <f>H70</f>
        <v>0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15189.2</v>
      </c>
      <c r="F74" s="6"/>
      <c r="I74" s="85" t="s">
        <v>97</v>
      </c>
      <c r="K74" s="129">
        <f>SUM(K61:K73)</f>
        <v>0</v>
      </c>
      <c r="O74" s="1"/>
      <c r="R74" s="162"/>
    </row>
    <row r="75" spans="1:20" ht="18.75" thickBot="1" x14ac:dyDescent="0.3">
      <c r="F75" s="6"/>
      <c r="I75" s="85">
        <v>2</v>
      </c>
      <c r="J75" s="167">
        <v>6565</v>
      </c>
      <c r="K75" s="120"/>
      <c r="M75" s="5" t="s">
        <v>132</v>
      </c>
      <c r="O75" s="1"/>
      <c r="P75" s="85">
        <v>2</v>
      </c>
      <c r="Q75" s="119" t="s">
        <v>107</v>
      </c>
      <c r="R75" s="163"/>
      <c r="S75" s="32"/>
    </row>
    <row r="76" spans="1:20" x14ac:dyDescent="0.25">
      <c r="A76" s="129" t="s">
        <v>99</v>
      </c>
      <c r="B76" s="26">
        <v>10686.71</v>
      </c>
      <c r="C76" s="130"/>
      <c r="D76" s="131" t="s">
        <v>100</v>
      </c>
      <c r="E76" s="6"/>
      <c r="F76" s="6"/>
      <c r="G76" s="132"/>
      <c r="H76" s="6"/>
      <c r="I76" s="85">
        <v>2</v>
      </c>
      <c r="J76" s="119">
        <v>1831</v>
      </c>
      <c r="K76" s="120"/>
      <c r="M76" s="5" t="s">
        <v>42</v>
      </c>
      <c r="O76" s="1"/>
      <c r="P76" s="85">
        <v>2</v>
      </c>
      <c r="Q76" s="119">
        <v>1831</v>
      </c>
      <c r="R76" s="16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>
        <v>2</v>
      </c>
      <c r="Q77" s="5">
        <v>6630</v>
      </c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/>
      <c r="M78" s="5" t="s">
        <v>90</v>
      </c>
      <c r="O78" s="1"/>
      <c r="P78" s="85">
        <v>2</v>
      </c>
      <c r="Q78" s="5">
        <v>6630</v>
      </c>
      <c r="R78" s="163"/>
      <c r="S78" s="32"/>
    </row>
    <row r="79" spans="1:20" ht="18.75" thickBot="1" x14ac:dyDescent="0.3">
      <c r="A79" s="134" t="s">
        <v>104</v>
      </c>
      <c r="B79" s="135">
        <f>ROUND(SUM(B76:B78),2)</f>
        <v>10686.71</v>
      </c>
      <c r="C79" s="130"/>
      <c r="D79" s="131"/>
      <c r="E79" s="6"/>
      <c r="F79" s="6"/>
      <c r="G79" s="129">
        <f>SUM(G76:G78)</f>
        <v>0</v>
      </c>
      <c r="H79" s="6" t="s">
        <v>105</v>
      </c>
      <c r="I79" s="85">
        <v>2</v>
      </c>
      <c r="J79" s="5">
        <v>6551</v>
      </c>
      <c r="K79" s="120"/>
      <c r="M79" s="5" t="s">
        <v>91</v>
      </c>
      <c r="O79" s="1"/>
      <c r="P79" s="85">
        <v>2</v>
      </c>
      <c r="Q79" s="5">
        <v>6551</v>
      </c>
      <c r="R79" s="163"/>
      <c r="S79" s="32"/>
    </row>
    <row r="80" spans="1:20" ht="18.75" thickBot="1" x14ac:dyDescent="0.3">
      <c r="A80" s="1" t="s">
        <v>106</v>
      </c>
      <c r="B80" s="26">
        <v>15189.2</v>
      </c>
      <c r="H80" s="128" t="str">
        <f>IF(B79-G79=0,"ok","NO")</f>
        <v>NO</v>
      </c>
      <c r="I80" s="85">
        <v>2</v>
      </c>
      <c r="J80" s="5">
        <v>6040</v>
      </c>
      <c r="K80" s="120"/>
      <c r="M80" s="5" t="s">
        <v>131</v>
      </c>
      <c r="O80" s="1"/>
      <c r="P80" s="85">
        <v>2</v>
      </c>
      <c r="Q80" s="5">
        <v>6040</v>
      </c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-10686.71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162"/>
      <c r="S81" s="32"/>
    </row>
    <row r="82" spans="1:19" ht="18.75" thickBot="1" x14ac:dyDescent="0.3">
      <c r="B82" s="3">
        <f>+B80+B81</f>
        <v>15189.2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0</v>
      </c>
      <c r="O84" s="1"/>
      <c r="P84" s="5">
        <v>3</v>
      </c>
      <c r="Q84" s="5">
        <v>6551</v>
      </c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164"/>
      <c r="S85" s="32"/>
    </row>
    <row r="86" spans="1:19" s="33" customFormat="1" x14ac:dyDescent="0.25">
      <c r="A86" s="5"/>
      <c r="B86" s="32">
        <f>+B83+O58</f>
        <v>1.8189894035458565E-12</v>
      </c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132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0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7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9F21D-072C-4495-A6D8-A44468575E57}">
  <sheetPr>
    <tabColor rgb="FF00B050"/>
    <pageSetUpPr fitToPage="1"/>
  </sheetPr>
  <dimension ref="A2:Z99"/>
  <sheetViews>
    <sheetView zoomScale="70" zoomScaleNormal="70" zoomScalePageLayoutView="70" workbookViewId="0">
      <selection activeCell="H21" sqref="H21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5.37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43714</v>
      </c>
      <c r="K2" s="9"/>
      <c r="M2" s="5" t="s">
        <v>1</v>
      </c>
    </row>
    <row r="3" spans="1:19" x14ac:dyDescent="0.25">
      <c r="A3" s="10" t="s">
        <v>2</v>
      </c>
      <c r="B3" s="8">
        <v>43707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0.8</v>
      </c>
    </row>
    <row r="7" spans="1:19" x14ac:dyDescent="0.25">
      <c r="A7" s="25" t="s">
        <v>14</v>
      </c>
      <c r="B7" s="26">
        <v>46537.51</v>
      </c>
      <c r="C7" s="27">
        <f>B7-F7-G7-H7</f>
        <v>0</v>
      </c>
      <c r="D7" s="28">
        <v>6500</v>
      </c>
      <c r="E7" s="29"/>
      <c r="F7" s="30">
        <v>3577.88</v>
      </c>
      <c r="G7" s="30">
        <v>16472.419999999998</v>
      </c>
      <c r="H7" s="31">
        <f t="shared" ref="H7:H31" si="0">B7-F7-G7</f>
        <v>26487.210000000006</v>
      </c>
      <c r="I7" s="12">
        <v>1</v>
      </c>
      <c r="J7" s="13">
        <v>6500</v>
      </c>
      <c r="K7" s="32">
        <f>H7+H31</f>
        <v>26487.210000000006</v>
      </c>
      <c r="M7" s="5" t="s">
        <v>15</v>
      </c>
      <c r="P7" s="5">
        <v>1</v>
      </c>
      <c r="Q7" s="13">
        <v>6500</v>
      </c>
      <c r="R7" s="33">
        <f>+K7*$R$6</f>
        <v>21189.768000000007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2363.52</v>
      </c>
      <c r="C10" s="27"/>
      <c r="D10" s="4">
        <v>6040</v>
      </c>
      <c r="F10" s="35"/>
      <c r="G10" s="35">
        <v>2198.52</v>
      </c>
      <c r="H10" s="37">
        <f t="shared" si="0"/>
        <v>165</v>
      </c>
      <c r="I10" s="12">
        <v>1</v>
      </c>
      <c r="J10" s="13">
        <v>6580</v>
      </c>
      <c r="K10" s="32">
        <f>ROUND($H$42+$H$43+$H$44+$H$45-$H$15+$H$46,2)</f>
        <v>2434.75</v>
      </c>
      <c r="M10" s="39" t="s">
        <v>21</v>
      </c>
      <c r="P10" s="5">
        <v>1</v>
      </c>
      <c r="Q10" s="13">
        <v>6580</v>
      </c>
      <c r="R10" s="33">
        <f>+K10*$R$6</f>
        <v>1947.8000000000002</v>
      </c>
      <c r="S10" s="32"/>
    </row>
    <row r="11" spans="1:19" x14ac:dyDescent="0.25">
      <c r="A11" s="34" t="s">
        <v>22</v>
      </c>
      <c r="B11" s="40">
        <v>2778.93</v>
      </c>
      <c r="C11" s="27">
        <f t="shared" ref="C11:C30" si="1">B11-F11-G11-H11</f>
        <v>0</v>
      </c>
      <c r="D11" s="4">
        <v>2100</v>
      </c>
      <c r="F11" s="41"/>
      <c r="G11" s="41"/>
      <c r="H11" s="37">
        <f t="shared" si="0"/>
        <v>2778.93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649.9</v>
      </c>
      <c r="C12" s="27">
        <f t="shared" si="1"/>
        <v>0</v>
      </c>
      <c r="D12" s="4">
        <v>2100</v>
      </c>
      <c r="F12" s="41"/>
      <c r="G12" s="41"/>
      <c r="H12" s="37">
        <f t="shared" si="0"/>
        <v>649.9</v>
      </c>
      <c r="I12" s="12">
        <v>1</v>
      </c>
      <c r="J12" s="13">
        <v>6570</v>
      </c>
      <c r="K12" s="32">
        <f>-H23+H51+H58</f>
        <v>405.8</v>
      </c>
      <c r="M12" s="5" t="s">
        <v>25</v>
      </c>
      <c r="P12" s="5">
        <v>1</v>
      </c>
      <c r="Q12" s="13">
        <v>6570</v>
      </c>
      <c r="R12" s="33">
        <f>+K12*R6</f>
        <v>324.64000000000004</v>
      </c>
      <c r="S12" s="32"/>
    </row>
    <row r="13" spans="1:19" x14ac:dyDescent="0.25">
      <c r="A13" s="34" t="s">
        <v>26</v>
      </c>
      <c r="B13" s="42">
        <v>3587.64</v>
      </c>
      <c r="C13" s="27">
        <f t="shared" si="1"/>
        <v>0</v>
      </c>
      <c r="D13" s="4">
        <v>2110</v>
      </c>
      <c r="F13" s="41"/>
      <c r="G13" s="41"/>
      <c r="H13" s="37">
        <f t="shared" si="0"/>
        <v>3587.64</v>
      </c>
      <c r="I13" s="12">
        <v>1</v>
      </c>
      <c r="J13" s="13">
        <v>6571</v>
      </c>
      <c r="K13" s="32">
        <f>ROUND(H55,2)</f>
        <v>757.99</v>
      </c>
      <c r="M13" s="43" t="s">
        <v>27</v>
      </c>
      <c r="P13" s="5">
        <v>1</v>
      </c>
      <c r="Q13" s="13">
        <v>6571</v>
      </c>
      <c r="R13" s="33">
        <f>+K13*$R$6</f>
        <v>606.39200000000005</v>
      </c>
      <c r="S13" s="32"/>
    </row>
    <row r="14" spans="1:19" x14ac:dyDescent="0.25">
      <c r="A14" s="34" t="s">
        <v>28</v>
      </c>
      <c r="B14" s="42">
        <v>1916.1</v>
      </c>
      <c r="C14" s="27">
        <f t="shared" si="1"/>
        <v>0</v>
      </c>
      <c r="D14" s="4">
        <v>2120</v>
      </c>
      <c r="F14" s="41"/>
      <c r="G14" s="41"/>
      <c r="H14" s="37">
        <f t="shared" si="0"/>
        <v>1916.1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26.4</v>
      </c>
      <c r="C15" s="27">
        <f t="shared" si="1"/>
        <v>0</v>
      </c>
      <c r="D15" s="4">
        <v>6580</v>
      </c>
      <c r="F15" s="44">
        <v>1.2</v>
      </c>
      <c r="G15" s="44">
        <v>7.2</v>
      </c>
      <c r="H15" s="37">
        <f t="shared" si="0"/>
        <v>18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>
        <f>SUM(R61:R66)</f>
        <v>0</v>
      </c>
    </row>
    <row r="16" spans="1:19" ht="18.75" thickBot="1" x14ac:dyDescent="0.3">
      <c r="A16" s="34" t="s">
        <v>33</v>
      </c>
      <c r="B16" s="51">
        <v>63.85</v>
      </c>
      <c r="C16" s="27">
        <f t="shared" si="1"/>
        <v>0</v>
      </c>
      <c r="D16" s="7">
        <v>2120</v>
      </c>
      <c r="F16" s="44">
        <v>3.7</v>
      </c>
      <c r="G16" s="44">
        <v>19</v>
      </c>
      <c r="H16" s="37">
        <f t="shared" si="0"/>
        <v>41.15</v>
      </c>
      <c r="I16" s="52">
        <v>1</v>
      </c>
      <c r="J16" s="10">
        <v>2120</v>
      </c>
      <c r="K16" s="21">
        <f>-H16</f>
        <v>-41.15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-32.92</v>
      </c>
      <c r="S16" s="32"/>
    </row>
    <row r="17" spans="1:26" x14ac:dyDescent="0.25">
      <c r="A17" s="34" t="s">
        <v>35</v>
      </c>
      <c r="B17" s="40">
        <v>24</v>
      </c>
      <c r="C17" s="27">
        <f t="shared" si="1"/>
        <v>0</v>
      </c>
      <c r="D17" s="54">
        <v>1830</v>
      </c>
      <c r="F17" s="41"/>
      <c r="G17" s="55"/>
      <c r="H17" s="37">
        <f t="shared" si="0"/>
        <v>24</v>
      </c>
      <c r="I17" s="12">
        <v>1</v>
      </c>
      <c r="J17" s="13">
        <v>1830</v>
      </c>
      <c r="K17" s="56">
        <f>ROUND(-H20-H27-H17-H18-H21-H26-H28,2)</f>
        <v>-908.27</v>
      </c>
      <c r="M17" s="5" t="s">
        <v>36</v>
      </c>
      <c r="P17" s="5">
        <v>1</v>
      </c>
      <c r="Q17" s="13">
        <v>1830</v>
      </c>
      <c r="R17" s="33">
        <f>+K17*$R$6</f>
        <v>-726.61599999999999</v>
      </c>
      <c r="S17" s="32"/>
    </row>
    <row r="18" spans="1:26" x14ac:dyDescent="0.25">
      <c r="A18" s="34" t="s">
        <v>37</v>
      </c>
      <c r="B18" s="42">
        <v>87.96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28.079999999999991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42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299.77</v>
      </c>
      <c r="M19" s="5" t="s">
        <v>40</v>
      </c>
      <c r="P19" s="5">
        <v>1</v>
      </c>
      <c r="Q19" s="13">
        <v>6300</v>
      </c>
      <c r="R19" s="33">
        <f>+K19*$R$6</f>
        <v>239.816</v>
      </c>
      <c r="S19" s="32"/>
    </row>
    <row r="20" spans="1:26" x14ac:dyDescent="0.25">
      <c r="A20" s="34" t="s">
        <v>41</v>
      </c>
      <c r="B20" s="42">
        <v>1381.44</v>
      </c>
      <c r="C20" s="27">
        <f t="shared" si="1"/>
        <v>0</v>
      </c>
      <c r="D20" s="4">
        <v>1830</v>
      </c>
      <c r="F20" s="41"/>
      <c r="G20" s="44">
        <v>809.87</v>
      </c>
      <c r="H20" s="37">
        <f t="shared" si="0"/>
        <v>571.57000000000005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42">
        <v>174.96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48.960000000000008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42"/>
      <c r="C22" s="27">
        <f t="shared" si="1"/>
        <v>0</v>
      </c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42">
        <v>1828.31</v>
      </c>
      <c r="C23" s="27">
        <f t="shared" si="1"/>
        <v>0</v>
      </c>
      <c r="D23" s="4">
        <v>6570</v>
      </c>
      <c r="F23" s="44">
        <v>172.48</v>
      </c>
      <c r="G23" s="44">
        <v>619.39</v>
      </c>
      <c r="H23" s="37">
        <f t="shared" si="0"/>
        <v>1036.44</v>
      </c>
      <c r="I23" s="12"/>
      <c r="J23" s="13"/>
      <c r="K23" s="59">
        <f>SUM(K7:K22)</f>
        <v>29436.100000000006</v>
      </c>
      <c r="N23" s="1">
        <v>2040</v>
      </c>
      <c r="P23" s="5">
        <v>1</v>
      </c>
      <c r="Q23" s="13">
        <v>2040</v>
      </c>
      <c r="R23" s="60">
        <f>SUM(R7:R22)</f>
        <v>23548.880000000005</v>
      </c>
      <c r="S23" s="6"/>
      <c r="V23" s="32"/>
    </row>
    <row r="24" spans="1:26" ht="18.75" thickTop="1" x14ac:dyDescent="0.25">
      <c r="A24" s="34" t="s">
        <v>48</v>
      </c>
      <c r="B24" s="42">
        <v>551.53</v>
      </c>
      <c r="C24" s="27">
        <f t="shared" si="1"/>
        <v>0</v>
      </c>
      <c r="F24" s="41"/>
      <c r="G24" s="44">
        <v>123.58</v>
      </c>
      <c r="H24" s="37">
        <f t="shared" si="0"/>
        <v>427.95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42">
        <v>132.69</v>
      </c>
      <c r="C25" s="27">
        <f t="shared" si="1"/>
        <v>0</v>
      </c>
      <c r="F25" s="44">
        <v>101.92</v>
      </c>
      <c r="G25" s="44"/>
      <c r="H25" s="37">
        <f t="shared" si="0"/>
        <v>30.769999999999996</v>
      </c>
      <c r="I25" s="61">
        <v>2</v>
      </c>
      <c r="J25" s="62"/>
      <c r="K25" s="32"/>
      <c r="Q25" s="62"/>
      <c r="R25" s="33"/>
      <c r="V25" s="32"/>
    </row>
    <row r="26" spans="1:26" x14ac:dyDescent="0.25">
      <c r="A26" s="34" t="s">
        <v>50</v>
      </c>
      <c r="B26" s="42">
        <v>63.17</v>
      </c>
      <c r="C26" s="27">
        <f t="shared" si="1"/>
        <v>0</v>
      </c>
      <c r="D26" s="54">
        <v>1830</v>
      </c>
      <c r="F26" s="41"/>
      <c r="G26" s="55"/>
      <c r="H26" s="37">
        <f t="shared" si="0"/>
        <v>63.17</v>
      </c>
      <c r="I26" s="12">
        <v>2</v>
      </c>
      <c r="J26" s="13">
        <v>6500</v>
      </c>
      <c r="K26" s="32">
        <f>G7+G31</f>
        <v>16472.419999999998</v>
      </c>
      <c r="M26" s="5" t="s">
        <v>51</v>
      </c>
      <c r="O26" s="32"/>
      <c r="P26" s="5">
        <v>2</v>
      </c>
      <c r="Q26" s="13">
        <v>6500</v>
      </c>
      <c r="R26" s="33">
        <f>+K26*R6</f>
        <v>13177.936</v>
      </c>
      <c r="S26" s="32"/>
      <c r="X26" s="32"/>
    </row>
    <row r="27" spans="1:26" x14ac:dyDescent="0.25">
      <c r="A27" s="34" t="s">
        <v>52</v>
      </c>
      <c r="B27" s="42">
        <v>114.66</v>
      </c>
      <c r="C27" s="63">
        <f t="shared" si="1"/>
        <v>0</v>
      </c>
      <c r="F27" s="41"/>
      <c r="G27" s="55"/>
      <c r="H27" s="37">
        <f t="shared" si="0"/>
        <v>114.66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51">
        <v>86.95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57.83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168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931.56</v>
      </c>
      <c r="M29" s="39" t="s">
        <v>21</v>
      </c>
      <c r="P29" s="5">
        <v>2</v>
      </c>
      <c r="Q29" s="13">
        <v>6580</v>
      </c>
      <c r="R29" s="33">
        <f>+K29*R6</f>
        <v>745.24800000000005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202.9</v>
      </c>
      <c r="M31" s="5" t="s">
        <v>25</v>
      </c>
      <c r="P31" s="5">
        <v>2</v>
      </c>
      <c r="Q31" s="13">
        <v>6570</v>
      </c>
      <c r="R31" s="33">
        <f>+K31*$R$6</f>
        <v>162.32000000000002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B7+B8+B10-B11-B12-B13-B14-B15-B16-B19-B29-B20-B26-B25-B28-B17-B21-B18-B23-B22-B24+B30+B31-B27+B9</f>
        <v>35432.54</v>
      </c>
      <c r="C32" s="72">
        <f>B32-F32-G32-H32</f>
        <v>-114.66000000000167</v>
      </c>
      <c r="D32" s="71"/>
      <c r="E32" s="71"/>
      <c r="F32" s="71">
        <f t="shared" ref="F32:G32" si="2">F7+F8+F10-F11-F12-F13-F14-F15-F16-F19-F29-F20-F26-F25-F28-F17-F21-F18-F23-F22-F24+F30+F31-F27+F9</f>
        <v>3287.8300000000004</v>
      </c>
      <c r="G32" s="71">
        <f t="shared" si="2"/>
        <v>16887.649999999998</v>
      </c>
      <c r="H32" s="71">
        <f>H7+H8+H10-H11-H12-H13-H14-H15-H16-H19-H29-H20-H26-H25-H28-H17-H21-H18-H23-H22-H24+H30+H31</f>
        <v>15371.720000000003</v>
      </c>
      <c r="I32" s="12">
        <v>2</v>
      </c>
      <c r="J32" s="13">
        <v>6571</v>
      </c>
      <c r="K32" s="32">
        <f>G55</f>
        <v>369.07</v>
      </c>
      <c r="M32" s="43" t="s">
        <v>27</v>
      </c>
      <c r="P32" s="5">
        <v>2</v>
      </c>
      <c r="Q32" s="13">
        <v>6571</v>
      </c>
      <c r="R32" s="33">
        <f>+K32*$R$6</f>
        <v>295.25600000000003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>
        <f>SUM(R75:R81)</f>
        <v>0</v>
      </c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-19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-15.200000000000001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-1014.12</v>
      </c>
      <c r="M36" s="5" t="s">
        <v>36</v>
      </c>
      <c r="O36" s="1"/>
      <c r="P36" s="5">
        <v>2</v>
      </c>
      <c r="Q36" s="13">
        <v>1830</v>
      </c>
      <c r="R36" s="33">
        <f>+K36*$R$6</f>
        <v>-811.29600000000005</v>
      </c>
      <c r="S36" s="32"/>
    </row>
    <row r="37" spans="1:22" x14ac:dyDescent="0.25">
      <c r="A37" s="25" t="s">
        <v>66</v>
      </c>
      <c r="B37" s="80">
        <f>B11</f>
        <v>2778.93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2778.93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649.9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649.9</v>
      </c>
      <c r="I38" s="12">
        <v>2</v>
      </c>
      <c r="J38" s="13">
        <v>6300</v>
      </c>
      <c r="K38" s="84">
        <f>ROUND(G70,2)</f>
        <v>149.88999999999999</v>
      </c>
      <c r="M38" s="5" t="s">
        <v>40</v>
      </c>
      <c r="O38" s="1"/>
      <c r="P38" s="5">
        <v>2</v>
      </c>
      <c r="Q38" s="13">
        <v>6300</v>
      </c>
      <c r="R38" s="33">
        <f>+K38*$R$6</f>
        <v>119.91199999999999</v>
      </c>
      <c r="S38" s="32"/>
    </row>
    <row r="39" spans="1:22" x14ac:dyDescent="0.25">
      <c r="A39" s="34" t="s">
        <v>68</v>
      </c>
      <c r="B39" s="83">
        <f>B13</f>
        <v>3587.64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3587.64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1916.1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1916.1</v>
      </c>
      <c r="I40" s="85"/>
      <c r="J40" s="5">
        <v>2040</v>
      </c>
      <c r="K40" s="86">
        <f>SUM(K26:K39)</f>
        <v>17092.72</v>
      </c>
      <c r="N40" s="1">
        <v>2040</v>
      </c>
      <c r="O40" s="1"/>
      <c r="P40" s="5">
        <v>2</v>
      </c>
      <c r="Q40" s="5">
        <v>2040</v>
      </c>
      <c r="R40" s="86">
        <f>SUM(R26:R39)</f>
        <v>13674.175999999998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2778.96</v>
      </c>
      <c r="C42" s="27">
        <f>B42-F42-G42-H42</f>
        <v>0</v>
      </c>
      <c r="D42" s="4">
        <v>6580</v>
      </c>
      <c r="F42" s="90">
        <v>146.44999999999999</v>
      </c>
      <c r="G42" s="90">
        <v>760.82</v>
      </c>
      <c r="H42" s="37">
        <f>B42-F42-G42</f>
        <v>1871.69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649.94000000000005</v>
      </c>
      <c r="C43" s="27">
        <f>B43-F43-G43-H43</f>
        <v>0</v>
      </c>
      <c r="D43" s="4">
        <v>6580</v>
      </c>
      <c r="F43" s="90">
        <v>34.25</v>
      </c>
      <c r="G43" s="90">
        <v>177.94</v>
      </c>
      <c r="H43" s="37">
        <f>B43-F43-G43</f>
        <v>437.75000000000006</v>
      </c>
      <c r="I43" s="12">
        <v>3</v>
      </c>
      <c r="J43" s="13">
        <v>6500</v>
      </c>
      <c r="K43" s="92">
        <f>F7+F31</f>
        <v>3577.88</v>
      </c>
      <c r="M43" s="5" t="s">
        <v>71</v>
      </c>
      <c r="O43" s="1"/>
      <c r="P43" s="5">
        <v>3</v>
      </c>
      <c r="Q43" s="13">
        <v>6500</v>
      </c>
      <c r="R43" s="33">
        <f>+K43*$R$6</f>
        <v>2862.3040000000001</v>
      </c>
      <c r="S43" s="32"/>
    </row>
    <row r="44" spans="1:22" x14ac:dyDescent="0.25">
      <c r="A44" s="34" t="s">
        <v>72</v>
      </c>
      <c r="B44" s="89">
        <v>31.38</v>
      </c>
      <c r="C44" s="27">
        <f>B44-F44-G44-H44</f>
        <v>0</v>
      </c>
      <c r="D44" s="4">
        <v>6580</v>
      </c>
      <c r="F44" s="90"/>
      <c r="G44" s="91"/>
      <c r="H44" s="37">
        <f>B44-G44-F44</f>
        <v>31.38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107.27</v>
      </c>
      <c r="C45" s="27">
        <f>B45-F45-G45-H45</f>
        <v>0</v>
      </c>
      <c r="D45" s="4">
        <v>6580</v>
      </c>
      <c r="F45" s="90"/>
      <c r="G45" s="94"/>
      <c r="H45" s="37">
        <f>B45-G45-F45</f>
        <v>107.27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4.66</v>
      </c>
      <c r="C46" s="27">
        <f>B46-F46-G46-H46</f>
        <v>0</v>
      </c>
      <c r="F46" s="96"/>
      <c r="G46" s="96"/>
      <c r="H46" s="37">
        <f>B46-G46-F46</f>
        <v>4.66</v>
      </c>
      <c r="I46" s="12">
        <v>3</v>
      </c>
      <c r="J46" s="13">
        <v>6580</v>
      </c>
      <c r="K46" s="32">
        <f>ROUND($F$42+$F$43+$F$44+$F$45-$F$15+$F$46,2)</f>
        <v>179.5</v>
      </c>
      <c r="M46" s="39" t="s">
        <v>21</v>
      </c>
      <c r="O46" s="1"/>
      <c r="P46" s="5">
        <v>3</v>
      </c>
      <c r="Q46" s="13">
        <v>6580</v>
      </c>
      <c r="R46" s="33">
        <f>+K46*$R$6</f>
        <v>143.6</v>
      </c>
      <c r="S46" s="32"/>
    </row>
    <row r="47" spans="1:22" ht="18.75" thickBot="1" x14ac:dyDescent="0.3">
      <c r="B47" s="97">
        <f>SUM(B42:B46)</f>
        <v>3572.21</v>
      </c>
      <c r="C47" s="27">
        <f>B48-F47-G47-H47</f>
        <v>0</v>
      </c>
      <c r="D47" s="7"/>
      <c r="E47" s="1"/>
      <c r="F47" s="97">
        <f>SUM(F37:F46)</f>
        <v>180.7</v>
      </c>
      <c r="G47" s="97">
        <f>SUM(G37:G46)</f>
        <v>938.76</v>
      </c>
      <c r="H47" s="71">
        <f>SUM(H37:H46)</f>
        <v>11385.32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12504.779999999999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49.96</v>
      </c>
      <c r="M48" s="5" t="s">
        <v>40</v>
      </c>
      <c r="O48" s="1"/>
      <c r="P48" s="5">
        <v>3</v>
      </c>
      <c r="Q48" s="13">
        <v>6300</v>
      </c>
      <c r="R48" s="33">
        <f>+K48*$R$6</f>
        <v>39.968000000000004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-3.7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-2.9600000000000004</v>
      </c>
      <c r="S50" s="32"/>
    </row>
    <row r="51" spans="1:23" x14ac:dyDescent="0.25">
      <c r="A51" s="25" t="s">
        <v>78</v>
      </c>
      <c r="B51" s="80">
        <f>B23</f>
        <v>1828.31</v>
      </c>
      <c r="C51" s="106"/>
      <c r="D51" s="28">
        <v>6570</v>
      </c>
      <c r="E51" s="29"/>
      <c r="F51" s="81">
        <f>F23</f>
        <v>172.48</v>
      </c>
      <c r="G51" s="107">
        <f>G23</f>
        <v>619.39</v>
      </c>
      <c r="H51" s="31">
        <f>B51-G51-F51</f>
        <v>1036.44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67.63</v>
      </c>
      <c r="M52" s="5" t="s">
        <v>25</v>
      </c>
      <c r="O52" s="1"/>
      <c r="P52" s="5">
        <v>3</v>
      </c>
      <c r="Q52" s="13">
        <v>6570</v>
      </c>
      <c r="R52" s="33">
        <f>+K52</f>
        <v>67.63</v>
      </c>
      <c r="S52" s="32"/>
    </row>
    <row r="53" spans="1:23" x14ac:dyDescent="0.25">
      <c r="A53" s="34" t="s">
        <v>60</v>
      </c>
      <c r="B53" s="108">
        <f>SUM(B51:B52)</f>
        <v>1828.31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1225.6199999999999</v>
      </c>
      <c r="C55" s="111"/>
      <c r="D55" s="4">
        <v>6571</v>
      </c>
      <c r="F55" s="90">
        <v>98.56</v>
      </c>
      <c r="G55" s="90">
        <v>369.07</v>
      </c>
      <c r="H55" s="37">
        <f>B55-F55-G55</f>
        <v>757.99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77.02</v>
      </c>
      <c r="C56" s="111"/>
      <c r="D56" s="4">
        <v>6571</v>
      </c>
      <c r="F56" s="93"/>
      <c r="G56" s="93"/>
      <c r="H56" s="37">
        <f>B56-F56-G56</f>
        <v>77.02</v>
      </c>
      <c r="I56" s="12"/>
      <c r="J56" s="13"/>
      <c r="K56" s="86">
        <f>SUM(K43:K55)</f>
        <v>3959.0800000000004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3209.1019999999999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676.33</v>
      </c>
      <c r="C58" s="111"/>
      <c r="D58" s="4">
        <v>6570</v>
      </c>
      <c r="F58" s="88">
        <f>ROUND(B58*10%,2)</f>
        <v>67.63</v>
      </c>
      <c r="G58" s="88">
        <f>ROUND(B58*30%,2)</f>
        <v>202.9</v>
      </c>
      <c r="H58" s="37">
        <f>ROUND(B58-F58-G58,2)</f>
        <v>405.8</v>
      </c>
      <c r="I58" s="52">
        <v>1</v>
      </c>
      <c r="J58" s="10">
        <v>1012</v>
      </c>
      <c r="K58" s="113">
        <f>-(K23+K40+K56+K74+K84+K90)-K59</f>
        <v>-52851.420000000006</v>
      </c>
      <c r="M58" s="1"/>
      <c r="N58" s="32">
        <f>+'[10]1012-CNB Checking'!$F$16</f>
        <v>52851.42</v>
      </c>
      <c r="O58" s="114">
        <f>+K58+N58+K59</f>
        <v>-7.2759576141834259E-12</v>
      </c>
      <c r="P58" s="32"/>
      <c r="R58" s="33"/>
    </row>
    <row r="59" spans="1:23" ht="18.75" thickTop="1" x14ac:dyDescent="0.25">
      <c r="A59" s="34" t="s">
        <v>48</v>
      </c>
      <c r="B59" s="83">
        <f>B24</f>
        <v>551.53</v>
      </c>
      <c r="C59" s="27"/>
      <c r="F59" s="88">
        <f>F24</f>
        <v>0</v>
      </c>
      <c r="G59" s="88">
        <f>G24</f>
        <v>123.58</v>
      </c>
      <c r="H59" s="37">
        <f>B59-F59-G59</f>
        <v>427.95</v>
      </c>
      <c r="I59" s="52">
        <v>1</v>
      </c>
      <c r="J59" s="10">
        <v>1012</v>
      </c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132.69</v>
      </c>
      <c r="C60" s="27"/>
      <c r="F60" s="88">
        <f>F25</f>
        <v>101.92</v>
      </c>
      <c r="G60" s="88">
        <f>G25</f>
        <v>0</v>
      </c>
      <c r="H60" s="37">
        <f>B60-F60-G60</f>
        <v>30.769999999999996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4414.4800000000005</v>
      </c>
      <c r="C61" s="117"/>
      <c r="D61" s="7"/>
      <c r="E61" s="1"/>
      <c r="F61" s="71">
        <f>F51+F55</f>
        <v>271.03999999999996</v>
      </c>
      <c r="G61" s="71">
        <f>G51+G55</f>
        <v>988.46</v>
      </c>
      <c r="H61" s="118">
        <f>B61-G61</f>
        <v>3426.0200000000004</v>
      </c>
      <c r="I61" s="115">
        <v>1</v>
      </c>
      <c r="J61" s="119">
        <v>1831</v>
      </c>
      <c r="K61" s="120">
        <v>150</v>
      </c>
      <c r="M61" s="5" t="s">
        <v>42</v>
      </c>
      <c r="O61" s="121"/>
      <c r="P61" s="115">
        <v>1</v>
      </c>
      <c r="Q61" s="119">
        <v>1831</v>
      </c>
      <c r="R61" s="16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/>
      <c r="M62" s="5" t="s">
        <v>132</v>
      </c>
      <c r="O62" s="1"/>
      <c r="P62" s="115">
        <v>1</v>
      </c>
      <c r="Q62" s="5">
        <v>6565</v>
      </c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85">
        <v>1</v>
      </c>
      <c r="Q63" s="5">
        <v>1831</v>
      </c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>
        <v>1</v>
      </c>
      <c r="Q64" s="5">
        <v>6630</v>
      </c>
      <c r="R64" s="16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/>
      <c r="M65" s="5" t="s">
        <v>90</v>
      </c>
      <c r="O65" s="1"/>
      <c r="P65" s="85">
        <v>1</v>
      </c>
      <c r="Q65" s="5">
        <v>6630</v>
      </c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v>15</v>
      </c>
      <c r="M66" s="5" t="s">
        <v>133</v>
      </c>
      <c r="O66" s="1"/>
      <c r="P66" s="85">
        <v>1</v>
      </c>
      <c r="Q66" s="5">
        <v>6551</v>
      </c>
      <c r="R66" s="16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>
        <v>1</v>
      </c>
      <c r="Q67" s="5">
        <v>6012</v>
      </c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>
        <f>497.85+1.77</f>
        <v>499.62</v>
      </c>
      <c r="C70" s="106"/>
      <c r="D70" s="28">
        <v>6300</v>
      </c>
      <c r="E70" s="29"/>
      <c r="F70" s="81">
        <f>B70*F69</f>
        <v>49.962000000000003</v>
      </c>
      <c r="G70" s="107">
        <f>B70*G69</f>
        <v>149.886</v>
      </c>
      <c r="H70" s="31">
        <f>B70*H69-0</f>
        <v>299.77199999999999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49.962000000000003</v>
      </c>
      <c r="G71" s="71">
        <f>G70</f>
        <v>149.886</v>
      </c>
      <c r="H71" s="118">
        <f>H70</f>
        <v>299.77199999999999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52351.8</v>
      </c>
      <c r="F74" s="6"/>
      <c r="I74" s="85" t="s">
        <v>97</v>
      </c>
      <c r="K74" s="129">
        <f>SUM(K61:K73)</f>
        <v>165</v>
      </c>
      <c r="O74" s="1"/>
      <c r="R74" s="162"/>
    </row>
    <row r="75" spans="1:20" ht="18.75" thickBot="1" x14ac:dyDescent="0.3">
      <c r="F75" s="6"/>
      <c r="I75" s="85">
        <v>2</v>
      </c>
      <c r="J75" s="167">
        <v>6565</v>
      </c>
      <c r="K75" s="120"/>
      <c r="M75" s="5" t="s">
        <v>132</v>
      </c>
      <c r="O75" s="1"/>
      <c r="P75" s="85">
        <v>2</v>
      </c>
      <c r="Q75" s="119" t="s">
        <v>107</v>
      </c>
      <c r="R75" s="163"/>
      <c r="S75" s="32"/>
    </row>
    <row r="76" spans="1:20" x14ac:dyDescent="0.25">
      <c r="A76" s="129" t="s">
        <v>99</v>
      </c>
      <c r="B76" s="26">
        <v>35355.519999999997</v>
      </c>
      <c r="C76" s="130"/>
      <c r="D76" s="131" t="s">
        <v>100</v>
      </c>
      <c r="E76" s="6"/>
      <c r="F76" s="6"/>
      <c r="G76" s="132">
        <v>35355.519999999997</v>
      </c>
      <c r="H76" s="6"/>
      <c r="I76" s="85">
        <v>2</v>
      </c>
      <c r="J76" s="119">
        <v>1831</v>
      </c>
      <c r="K76" s="120"/>
      <c r="M76" s="5" t="s">
        <v>42</v>
      </c>
      <c r="O76" s="1"/>
      <c r="P76" s="85">
        <v>2</v>
      </c>
      <c r="Q76" s="119">
        <v>1831</v>
      </c>
      <c r="R76" s="16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>
        <v>2</v>
      </c>
      <c r="Q77" s="5">
        <v>6630</v>
      </c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85">
        <v>2</v>
      </c>
      <c r="Q78" s="5">
        <v>6630</v>
      </c>
      <c r="R78" s="163"/>
      <c r="S78" s="32"/>
    </row>
    <row r="79" spans="1:20" ht="18.75" thickBot="1" x14ac:dyDescent="0.3">
      <c r="A79" s="134" t="s">
        <v>104</v>
      </c>
      <c r="B79" s="135">
        <f>ROUND(SUM(B76:B78),2)</f>
        <v>35355.519999999997</v>
      </c>
      <c r="C79" s="130"/>
      <c r="D79" s="131"/>
      <c r="E79" s="6"/>
      <c r="F79" s="6"/>
      <c r="G79" s="129">
        <f>SUM(G76:G78)</f>
        <v>35355.519999999997</v>
      </c>
      <c r="H79" s="6" t="s">
        <v>105</v>
      </c>
      <c r="I79" s="85">
        <v>2</v>
      </c>
      <c r="J79" s="5">
        <v>6551</v>
      </c>
      <c r="K79" s="120">
        <v>2186.98</v>
      </c>
      <c r="M79" s="5" t="s">
        <v>91</v>
      </c>
      <c r="O79" s="1"/>
      <c r="P79" s="85">
        <v>2</v>
      </c>
      <c r="Q79" s="5">
        <v>6551</v>
      </c>
      <c r="R79" s="163"/>
      <c r="S79" s="32"/>
    </row>
    <row r="80" spans="1:20" ht="18.75" thickBot="1" x14ac:dyDescent="0.3">
      <c r="A80" s="1" t="s">
        <v>106</v>
      </c>
      <c r="B80" s="26">
        <v>52351.8</v>
      </c>
      <c r="H80" s="128" t="str">
        <f>IF(B79-G79=0,"ok","NO")</f>
        <v>ok</v>
      </c>
      <c r="I80" s="85">
        <v>2</v>
      </c>
      <c r="J80" s="5">
        <v>6040</v>
      </c>
      <c r="K80" s="120"/>
      <c r="M80" s="5" t="s">
        <v>131</v>
      </c>
      <c r="O80" s="1"/>
      <c r="P80" s="85">
        <v>2</v>
      </c>
      <c r="Q80" s="5">
        <v>6040</v>
      </c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162"/>
      <c r="S81" s="32"/>
    </row>
    <row r="82" spans="1:19" ht="18.75" thickBot="1" x14ac:dyDescent="0.3">
      <c r="B82" s="3">
        <f>+B80+B81</f>
        <v>52351.8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2198.52</v>
      </c>
      <c r="O84" s="1"/>
      <c r="P84" s="5">
        <v>3</v>
      </c>
      <c r="Q84" s="5">
        <v>6551</v>
      </c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164"/>
      <c r="S85" s="32"/>
    </row>
    <row r="86" spans="1:19" s="33" customFormat="1" x14ac:dyDescent="0.25">
      <c r="A86" s="5"/>
      <c r="B86" s="32">
        <f>+B83+O58</f>
        <v>-7.2759576141834259E-12</v>
      </c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132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2363.52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6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4A80-98A1-429F-A69D-EAEEA2464B4C}">
  <sheetPr>
    <tabColor rgb="FF00B0F0"/>
    <pageSetUpPr fitToPage="1"/>
  </sheetPr>
  <dimension ref="A2:Y100"/>
  <sheetViews>
    <sheetView topLeftCell="A31" zoomScale="70" zoomScaleNormal="70" zoomScalePageLayoutView="70" workbookViewId="0">
      <selection activeCell="I7" sqref="I7:K58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2.8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32" width="10.5" style="5"/>
    <col min="33" max="33" width="19.75" style="5" bestFit="1" customWidth="1"/>
    <col min="34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43720</v>
      </c>
      <c r="K2" s="9"/>
      <c r="M2" s="5" t="s">
        <v>1</v>
      </c>
    </row>
    <row r="3" spans="1:24" ht="18.75" thickBot="1" x14ac:dyDescent="0.3">
      <c r="A3" s="10" t="s">
        <v>2</v>
      </c>
      <c r="B3" s="8">
        <v>43708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B6" s="74"/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>
        <v>339</v>
      </c>
      <c r="C7" s="27"/>
      <c r="D7" s="28"/>
      <c r="E7" s="29"/>
      <c r="F7" s="30"/>
      <c r="G7" s="146">
        <v>195</v>
      </c>
      <c r="H7" s="37">
        <f t="shared" ref="H7:H32" si="0">B7-F7-G7</f>
        <v>144</v>
      </c>
      <c r="I7" s="12">
        <v>1</v>
      </c>
      <c r="J7" s="13">
        <v>6510</v>
      </c>
      <c r="K7" s="32">
        <f>+H7</f>
        <v>144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>
        <v>6293.72</v>
      </c>
      <c r="C8" s="27"/>
      <c r="F8" s="127"/>
      <c r="G8" s="36">
        <v>2824.75</v>
      </c>
      <c r="H8" s="37">
        <f t="shared" si="0"/>
        <v>3468.9700000000003</v>
      </c>
      <c r="I8" s="12">
        <v>1</v>
      </c>
      <c r="J8" s="13">
        <v>6505</v>
      </c>
      <c r="K8" s="32">
        <f>+H8</f>
        <v>3468.9700000000003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/>
      <c r="C9" s="27"/>
      <c r="D9" s="4">
        <v>6500</v>
      </c>
      <c r="F9" s="127"/>
      <c r="G9" s="36"/>
      <c r="H9" s="37">
        <f t="shared" si="0"/>
        <v>0</v>
      </c>
      <c r="I9" s="12">
        <v>1</v>
      </c>
      <c r="J9" s="13">
        <v>6500</v>
      </c>
      <c r="K9" s="32">
        <f>+H9</f>
        <v>0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27"/>
      <c r="F10" s="148"/>
      <c r="G10" s="148"/>
      <c r="H10" s="37">
        <f t="shared" si="0"/>
        <v>0</v>
      </c>
      <c r="I10" s="12">
        <v>1</v>
      </c>
      <c r="J10" s="13">
        <v>6580</v>
      </c>
      <c r="K10" s="32">
        <f>ROUND(H43+H44+H45+H46-H16+H47,2)</f>
        <v>507.38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27"/>
      <c r="F11" s="150"/>
      <c r="G11" s="150"/>
      <c r="H11" s="37">
        <f t="shared" si="0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411.23</v>
      </c>
      <c r="C12" s="27"/>
      <c r="F12" s="41"/>
      <c r="G12" s="41"/>
      <c r="H12" s="37">
        <f>B12-F12-G12</f>
        <v>411.23</v>
      </c>
      <c r="I12" s="12">
        <v>1</v>
      </c>
      <c r="J12" s="13">
        <v>6570</v>
      </c>
      <c r="K12" s="32">
        <f>-H24+H52+H59</f>
        <v>29.431178928101897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96.18</v>
      </c>
      <c r="C13" s="27"/>
      <c r="F13" s="41"/>
      <c r="G13" s="41"/>
      <c r="H13" s="37">
        <f t="shared" si="0"/>
        <v>96.18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>
        <v>33.19</v>
      </c>
      <c r="C14" s="27"/>
      <c r="F14" s="41"/>
      <c r="G14" s="41"/>
      <c r="H14" s="37">
        <f t="shared" si="0"/>
        <v>33.19</v>
      </c>
      <c r="I14" s="12">
        <v>1</v>
      </c>
      <c r="J14" s="13">
        <v>6571</v>
      </c>
      <c r="K14" s="32">
        <f>+H56</f>
        <v>254.54</v>
      </c>
      <c r="L14" s="145"/>
      <c r="M14" s="5" t="s">
        <v>61</v>
      </c>
      <c r="P14" s="1"/>
    </row>
    <row r="15" spans="1:24" x14ac:dyDescent="0.25">
      <c r="A15" s="34" t="s">
        <v>28</v>
      </c>
      <c r="B15" s="151">
        <v>54.8</v>
      </c>
      <c r="C15" s="27"/>
      <c r="F15" s="41"/>
      <c r="G15" s="41"/>
      <c r="H15" s="37">
        <f t="shared" si="0"/>
        <v>54.8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/>
      <c r="C16" s="27"/>
      <c r="F16" s="152"/>
      <c r="G16" s="44"/>
      <c r="H16" s="37">
        <f t="shared" si="0"/>
        <v>0</v>
      </c>
      <c r="I16" s="52">
        <v>1</v>
      </c>
      <c r="J16" s="10">
        <v>2120</v>
      </c>
      <c r="K16" s="21">
        <f>-H17</f>
        <v>-8.24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1">SUM(R7:R15)</f>
        <v>779.02</v>
      </c>
      <c r="S16" s="154">
        <f t="shared" si="1"/>
        <v>944.95</v>
      </c>
      <c r="T16" s="154">
        <f t="shared" si="1"/>
        <v>348.52</v>
      </c>
      <c r="U16" s="154">
        <f t="shared" si="1"/>
        <v>1512.56</v>
      </c>
      <c r="V16" s="154">
        <f t="shared" si="1"/>
        <v>670.31999999999994</v>
      </c>
      <c r="W16" s="154">
        <f t="shared" si="1"/>
        <v>4475.92</v>
      </c>
      <c r="X16" s="154">
        <f t="shared" si="1"/>
        <v>1797.86</v>
      </c>
    </row>
    <row r="17" spans="1:25" ht="19.5" thickTop="1" thickBot="1" x14ac:dyDescent="0.3">
      <c r="A17" s="34" t="s">
        <v>33</v>
      </c>
      <c r="B17" s="151">
        <v>8.24</v>
      </c>
      <c r="C17" s="27"/>
      <c r="F17" s="152"/>
      <c r="G17" s="44"/>
      <c r="H17" s="37">
        <f t="shared" si="0"/>
        <v>8.24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27"/>
      <c r="D18" s="54"/>
      <c r="E18" s="5"/>
      <c r="F18" s="41"/>
      <c r="G18" s="55"/>
      <c r="H18" s="37">
        <f t="shared" si="0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27"/>
      <c r="D19" s="54"/>
      <c r="E19" s="5"/>
      <c r="F19" s="41"/>
      <c r="G19" s="44"/>
      <c r="H19" s="37">
        <f t="shared" si="0"/>
        <v>0</v>
      </c>
      <c r="I19" s="12">
        <v>1</v>
      </c>
      <c r="J19" s="13">
        <v>6300</v>
      </c>
      <c r="K19" s="82">
        <f>ROUND(H72,2)</f>
        <v>16.04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27"/>
      <c r="D20" s="4"/>
      <c r="E20" s="5"/>
      <c r="F20" s="41"/>
      <c r="G20" s="55"/>
      <c r="H20" s="37">
        <f t="shared" si="0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27"/>
      <c r="D21" s="4"/>
      <c r="E21" s="5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27"/>
      <c r="D22" s="54"/>
      <c r="E22" s="5"/>
      <c r="F22" s="41"/>
      <c r="G22" s="44"/>
      <c r="H22" s="37">
        <f t="shared" si="0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27"/>
      <c r="D23" s="4"/>
      <c r="E23" s="5"/>
      <c r="F23" s="41"/>
      <c r="G23" s="55"/>
      <c r="H23" s="37">
        <f t="shared" si="0"/>
        <v>0</v>
      </c>
      <c r="I23" s="12"/>
      <c r="J23" s="13"/>
      <c r="K23" s="59">
        <f>SUM(K7:K22)</f>
        <v>4412.1211789281024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>
        <v>360.36</v>
      </c>
      <c r="C24" s="27"/>
      <c r="D24" s="4"/>
      <c r="E24" s="5"/>
      <c r="F24" s="152"/>
      <c r="G24" s="44"/>
      <c r="H24" s="37">
        <f t="shared" si="0"/>
        <v>360.36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27"/>
      <c r="D25" s="4"/>
      <c r="E25" s="5"/>
      <c r="F25" s="41"/>
      <c r="G25" s="44"/>
      <c r="H25" s="37">
        <f t="shared" si="0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27"/>
      <c r="D26" s="4"/>
      <c r="E26" s="5"/>
      <c r="F26" s="44"/>
      <c r="G26" s="44"/>
      <c r="H26" s="37">
        <f t="shared" si="0"/>
        <v>0</v>
      </c>
      <c r="I26" s="12">
        <v>2</v>
      </c>
      <c r="J26" s="13">
        <v>6510</v>
      </c>
      <c r="K26" s="32">
        <f>+G7</f>
        <v>195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27"/>
      <c r="D27" s="54"/>
      <c r="E27" s="5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2824.75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63"/>
      <c r="D28" s="4"/>
      <c r="E28" s="5"/>
      <c r="F28" s="41"/>
      <c r="G28" s="55"/>
      <c r="H28" s="37">
        <f t="shared" si="0"/>
        <v>0</v>
      </c>
      <c r="I28" s="12">
        <v>2</v>
      </c>
      <c r="J28" s="13">
        <v>6500</v>
      </c>
      <c r="K28" s="32">
        <f>+G9</f>
        <v>0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27"/>
      <c r="D29" s="54"/>
      <c r="E29" s="5"/>
      <c r="F29" s="41"/>
      <c r="G29" s="44"/>
      <c r="H29" s="37">
        <f t="shared" si="0"/>
        <v>0</v>
      </c>
      <c r="I29" s="12">
        <v>2</v>
      </c>
      <c r="J29" s="13">
        <v>6580</v>
      </c>
      <c r="K29" s="32">
        <f>-G16+G43+G44+G45+G46+G47</f>
        <v>0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65"/>
      <c r="D30" s="54"/>
      <c r="E30" s="5"/>
      <c r="F30" s="66"/>
      <c r="G30" s="67"/>
      <c r="H30" s="37">
        <f t="shared" si="0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27"/>
      <c r="D31" s="4"/>
      <c r="E31" s="5"/>
      <c r="F31" s="68"/>
      <c r="G31" s="67"/>
      <c r="H31" s="37">
        <f t="shared" si="0"/>
        <v>0</v>
      </c>
      <c r="I31" s="12">
        <v>2</v>
      </c>
      <c r="J31" s="13">
        <v>6570</v>
      </c>
      <c r="K31" s="32">
        <f>-G24+G52+G59</f>
        <v>24.598821071898104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27">
        <f t="shared" ref="C32" si="2">B32-F32-G32-H32</f>
        <v>0</v>
      </c>
      <c r="D32" s="4">
        <v>6500</v>
      </c>
      <c r="E32" s="5"/>
      <c r="F32" s="69"/>
      <c r="G32" s="70"/>
      <c r="H32" s="37">
        <f t="shared" si="0"/>
        <v>0</v>
      </c>
      <c r="I32" s="12">
        <v>2</v>
      </c>
      <c r="J32" s="13">
        <v>6571</v>
      </c>
      <c r="K32" s="32">
        <f>G56</f>
        <v>0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5668.72</v>
      </c>
      <c r="C33" s="72">
        <f>B33-F33-G33-H33</f>
        <v>-8.2399999999997817</v>
      </c>
      <c r="D33" s="71"/>
      <c r="E33" s="71"/>
      <c r="F33" s="71">
        <f>F7+F8+F10+F11-F12-F13-F14-F15-F16-F30-F21-F27-F26-F29-F18-F22-F19-F24-F23-F25+F31+F32</f>
        <v>0</v>
      </c>
      <c r="G33" s="71">
        <f>G7+G8+G10+G11-G12-G13-G14-G15-G16-G30-G21-G27-G26-G29-G18-G22-G19-G24-G23-G25+G31+G32</f>
        <v>3019.75</v>
      </c>
      <c r="H33" s="71">
        <f>H7+H8+H10+H11-H12-H13-H14-H15-H16-H30-H21-H27-H26-H29-H18-H22-H19-H24-H23-H25+H31+H32-H20-H28</f>
        <v>2657.21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0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411.23</v>
      </c>
      <c r="C38" s="27">
        <f>B38-F38-G38-H38</f>
        <v>0</v>
      </c>
      <c r="D38" s="28">
        <v>2100</v>
      </c>
      <c r="E38" s="29"/>
      <c r="F38" s="81">
        <v>0</v>
      </c>
      <c r="G38" s="80">
        <v>0</v>
      </c>
      <c r="H38" s="31">
        <f>B38-G38-F38</f>
        <v>411.23</v>
      </c>
      <c r="I38" s="12">
        <v>2</v>
      </c>
      <c r="J38" s="13">
        <v>6300</v>
      </c>
      <c r="K38" s="84">
        <f>ROUND(G72,2)</f>
        <v>13.41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96.18</v>
      </c>
      <c r="C39" s="27">
        <f>B39-F39-G39-H39</f>
        <v>0</v>
      </c>
      <c r="D39" s="4">
        <v>2100</v>
      </c>
      <c r="E39" s="5"/>
      <c r="F39" s="6">
        <v>0</v>
      </c>
      <c r="G39" s="83">
        <v>0</v>
      </c>
      <c r="H39" s="37">
        <f>B39-G39-F39</f>
        <v>96.18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33.19</v>
      </c>
      <c r="C40" s="27">
        <f>B40-F40-G40-H40</f>
        <v>0</v>
      </c>
      <c r="D40" s="4">
        <v>2110</v>
      </c>
      <c r="E40" s="5"/>
      <c r="F40" s="6">
        <v>0</v>
      </c>
      <c r="G40" s="83">
        <v>0</v>
      </c>
      <c r="H40" s="37">
        <f>B40-G40-F40</f>
        <v>33.19</v>
      </c>
      <c r="I40" s="85"/>
      <c r="J40" s="5"/>
      <c r="K40" s="86">
        <f>SUM(K26:K39)</f>
        <v>3057.7588210718982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54.8</v>
      </c>
      <c r="C41" s="27">
        <f>B41-F41-G41-H41</f>
        <v>0</v>
      </c>
      <c r="D41" s="4">
        <v>2120</v>
      </c>
      <c r="E41" s="5"/>
      <c r="F41" s="6">
        <v>0</v>
      </c>
      <c r="G41" s="83">
        <v>0</v>
      </c>
      <c r="H41" s="37">
        <f>B41-G41-F41</f>
        <v>54.8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411.22</v>
      </c>
      <c r="C43" s="27">
        <f>B43-F43-G43-H43</f>
        <v>0</v>
      </c>
      <c r="D43" s="4">
        <v>6580</v>
      </c>
      <c r="E43" s="5"/>
      <c r="F43" s="152"/>
      <c r="G43" s="152"/>
      <c r="H43" s="37">
        <f>B43-F43-G43</f>
        <v>411.22</v>
      </c>
      <c r="I43" s="12">
        <v>3</v>
      </c>
      <c r="J43" s="13">
        <v>6510</v>
      </c>
      <c r="K43" s="92">
        <f>+F7</f>
        <v>0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96.16</v>
      </c>
      <c r="C44" s="27">
        <f>B44-F44-G44-H44</f>
        <v>0</v>
      </c>
      <c r="D44" s="4">
        <v>6580</v>
      </c>
      <c r="E44" s="5"/>
      <c r="F44" s="152"/>
      <c r="G44" s="152"/>
      <c r="H44" s="37">
        <f>B44-F44-G44</f>
        <v>96.16</v>
      </c>
      <c r="I44" s="12">
        <v>3</v>
      </c>
      <c r="J44" s="13">
        <v>6505</v>
      </c>
      <c r="K44" s="92">
        <f>+F8</f>
        <v>0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/>
      <c r="C45" s="27">
        <f>B45-F45-G45-H45</f>
        <v>0</v>
      </c>
      <c r="D45" s="4">
        <v>6580</v>
      </c>
      <c r="E45" s="5"/>
      <c r="F45" s="90"/>
      <c r="G45" s="91"/>
      <c r="H45" s="37">
        <f>B45-G45-F45</f>
        <v>0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/>
      <c r="C46" s="27">
        <f>B46-F46-G46-H46</f>
        <v>0</v>
      </c>
      <c r="D46" s="4">
        <v>6580</v>
      </c>
      <c r="E46" s="5"/>
      <c r="F46" s="93"/>
      <c r="G46" s="94"/>
      <c r="H46" s="37">
        <f>B46-G46-F46</f>
        <v>0</v>
      </c>
      <c r="I46" s="12">
        <v>3</v>
      </c>
      <c r="J46" s="13">
        <v>6580</v>
      </c>
      <c r="K46" s="92">
        <f>-F16+F43+F44+F45+F46+F47</f>
        <v>0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/>
      <c r="C47" s="27">
        <f>B47-F47-G47-H47</f>
        <v>0</v>
      </c>
      <c r="D47" s="4"/>
      <c r="E47" s="5"/>
      <c r="F47" s="95"/>
      <c r="G47" s="96"/>
      <c r="H47" s="37">
        <f>B47-G47-F47</f>
        <v>0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507.38</v>
      </c>
      <c r="C48" s="27">
        <f>B49-F48-G48-H48</f>
        <v>0</v>
      </c>
      <c r="D48" s="7"/>
      <c r="E48" s="1"/>
      <c r="F48" s="97">
        <f>SUM(F38:F47)</f>
        <v>0</v>
      </c>
      <c r="G48" s="97">
        <f>SUM(G38:G47)</f>
        <v>0</v>
      </c>
      <c r="H48" s="71">
        <f>SUM(H38:H47)</f>
        <v>1102.78</v>
      </c>
      <c r="I48" s="12">
        <v>3</v>
      </c>
      <c r="J48" s="13">
        <v>6300</v>
      </c>
      <c r="K48" s="92">
        <f>ROUND(F72,2)</f>
        <v>0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5" s="33" customFormat="1" ht="19.5" thickTop="1" thickBot="1" x14ac:dyDescent="0.3">
      <c r="A49" s="34" t="s">
        <v>60</v>
      </c>
      <c r="B49" s="98">
        <f>SUM(B38:B47)</f>
        <v>1102.78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5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0</v>
      </c>
      <c r="L50" s="1"/>
      <c r="M50" s="1" t="s">
        <v>34</v>
      </c>
      <c r="N50" s="1"/>
      <c r="O50" s="1"/>
      <c r="P50" s="1"/>
    </row>
    <row r="51" spans="1:25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5" x14ac:dyDescent="0.25">
      <c r="A52" s="25" t="s">
        <v>78</v>
      </c>
      <c r="B52" s="80">
        <f>B24</f>
        <v>360.36</v>
      </c>
      <c r="C52" s="106"/>
      <c r="D52" s="28">
        <v>6570</v>
      </c>
      <c r="E52" s="29"/>
      <c r="F52" s="81">
        <f>F24</f>
        <v>0</v>
      </c>
      <c r="G52" s="107">
        <f>G24</f>
        <v>0</v>
      </c>
      <c r="H52" s="31">
        <f>B52-G52-F52</f>
        <v>360.36</v>
      </c>
      <c r="I52" s="12">
        <v>3</v>
      </c>
      <c r="J52" s="13">
        <v>6570</v>
      </c>
      <c r="K52" s="92">
        <f>F59</f>
        <v>0</v>
      </c>
      <c r="M52" s="5" t="s">
        <v>25</v>
      </c>
      <c r="O52" s="1"/>
      <c r="P52" s="1"/>
    </row>
    <row r="53" spans="1:25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0</v>
      </c>
      <c r="M53" s="5" t="s">
        <v>27</v>
      </c>
      <c r="O53" s="1"/>
      <c r="P53" s="1"/>
    </row>
    <row r="54" spans="1:25" x14ac:dyDescent="0.25">
      <c r="A54" s="34" t="s">
        <v>60</v>
      </c>
      <c r="B54" s="108">
        <f>SUM(B52:B53)</f>
        <v>360.36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5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5" ht="18.75" thickBot="1" x14ac:dyDescent="0.3">
      <c r="A56" s="34" t="s">
        <v>80</v>
      </c>
      <c r="B56" s="110">
        <v>254.54</v>
      </c>
      <c r="C56" s="111"/>
      <c r="D56" s="4">
        <v>6571</v>
      </c>
      <c r="F56" s="152"/>
      <c r="G56" s="44"/>
      <c r="H56" s="37">
        <f>B56-F56-G56</f>
        <v>254.54</v>
      </c>
      <c r="I56" s="12"/>
      <c r="J56" s="13"/>
      <c r="K56" s="86">
        <f>SUM(K43:K55)</f>
        <v>0</v>
      </c>
      <c r="L56" s="1"/>
      <c r="N56" s="1">
        <v>2040</v>
      </c>
      <c r="O56" s="1"/>
      <c r="P56" s="1"/>
      <c r="Q56" s="33">
        <f>+O58+K58</f>
        <v>0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5" ht="18.75" thickTop="1" x14ac:dyDescent="0.25">
      <c r="A57" s="34" t="s">
        <v>61</v>
      </c>
      <c r="B57" s="112">
        <v>68.61</v>
      </c>
      <c r="C57" s="111"/>
      <c r="D57" s="4">
        <v>6571</v>
      </c>
      <c r="F57" s="93"/>
      <c r="G57" s="157"/>
      <c r="H57" s="37">
        <f>B57-F57-G57</f>
        <v>68.61</v>
      </c>
      <c r="I57" s="12"/>
      <c r="J57" s="13"/>
      <c r="K57" s="32"/>
      <c r="M57" s="1" t="s">
        <v>83</v>
      </c>
      <c r="O57" s="1"/>
      <c r="P57" s="1"/>
    </row>
    <row r="58" spans="1:25" ht="18.75" thickBot="1" x14ac:dyDescent="0.3">
      <c r="A58" s="34" t="s">
        <v>82</v>
      </c>
      <c r="B58" s="83">
        <f>+B20</f>
        <v>0</v>
      </c>
      <c r="C58" s="111"/>
      <c r="F58" s="6"/>
      <c r="G58" s="88"/>
      <c r="H58" s="37">
        <f>B58-F58-G58</f>
        <v>0</v>
      </c>
      <c r="I58" s="52">
        <v>1</v>
      </c>
      <c r="J58" s="10">
        <v>1012</v>
      </c>
      <c r="K58" s="113">
        <f>-(K23+K40+K56+K76+K83+K88)-K59-K60</f>
        <v>-7469.880000000001</v>
      </c>
      <c r="M58" s="1"/>
      <c r="O58" s="114">
        <f>+'[10]1012-CNB Checking'!$F$48</f>
        <v>7469.88</v>
      </c>
      <c r="P58" s="114"/>
      <c r="Y58" s="32">
        <f>+K58+O58</f>
        <v>0</v>
      </c>
    </row>
    <row r="59" spans="1:25" ht="18.75" thickTop="1" x14ac:dyDescent="0.25">
      <c r="A59" s="34" t="s">
        <v>25</v>
      </c>
      <c r="B59" s="110">
        <v>54.03</v>
      </c>
      <c r="C59" s="111"/>
      <c r="D59" s="4">
        <v>6570</v>
      </c>
      <c r="F59" s="160">
        <f>+B59*F65</f>
        <v>0</v>
      </c>
      <c r="G59" s="88">
        <f>+B59*G70</f>
        <v>24.598821071898104</v>
      </c>
      <c r="H59" s="37">
        <f>+B59*H65</f>
        <v>29.431178928101897</v>
      </c>
      <c r="I59" s="85">
        <v>1</v>
      </c>
      <c r="K59" s="21"/>
      <c r="O59" s="21"/>
      <c r="P59" s="1"/>
    </row>
    <row r="60" spans="1:25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85">
        <v>1</v>
      </c>
      <c r="K60" s="21"/>
      <c r="O60" s="21"/>
      <c r="P60" s="1"/>
    </row>
    <row r="61" spans="1:25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>B61-F61-G61</f>
        <v>0</v>
      </c>
      <c r="I61" s="85"/>
      <c r="K61" s="21"/>
      <c r="O61" s="21"/>
      <c r="P61" s="1"/>
    </row>
    <row r="62" spans="1:25" ht="18.75" thickBot="1" x14ac:dyDescent="0.3">
      <c r="A62" s="34" t="s">
        <v>60</v>
      </c>
      <c r="B62" s="116">
        <f>B54+B60+B61+B56+B59+B58</f>
        <v>668.93</v>
      </c>
      <c r="C62" s="117"/>
      <c r="D62" s="7"/>
      <c r="E62" s="1"/>
      <c r="F62" s="71">
        <f>F52+F56</f>
        <v>0</v>
      </c>
      <c r="G62" s="71">
        <f>G52+G56</f>
        <v>0</v>
      </c>
      <c r="H62" s="118">
        <f>B62-G62</f>
        <v>668.93</v>
      </c>
      <c r="I62" s="115" t="s">
        <v>85</v>
      </c>
      <c r="K62" s="32"/>
      <c r="O62" s="1"/>
      <c r="P62" s="1"/>
    </row>
    <row r="63" spans="1:25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5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f>+(F7+F8)/($B$7+$B$8)</f>
        <v>0</v>
      </c>
      <c r="G65" s="123">
        <f>+(G7+G8)/($B$7+$B$8)</f>
        <v>0.45528078978156772</v>
      </c>
      <c r="H65" s="123">
        <f>+(H7+H8)/($B$7+$B$8)</f>
        <v>0.54471921021843228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0</v>
      </c>
      <c r="G70" s="123">
        <f>G65</f>
        <v>0.45528078978156772</v>
      </c>
      <c r="H70" s="123">
        <f>H65</f>
        <v>0.54471921021843228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>
        <f>27.68+1.77</f>
        <v>29.45</v>
      </c>
      <c r="C71" s="106"/>
      <c r="D71" s="28">
        <v>6300</v>
      </c>
      <c r="E71" s="29"/>
      <c r="F71" s="81">
        <f>B71*F70</f>
        <v>0</v>
      </c>
      <c r="G71" s="107">
        <f>B71*G70</f>
        <v>13.408019259067169</v>
      </c>
      <c r="H71" s="31">
        <f>B71*H70-0</f>
        <v>16.041980740932829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29.45</v>
      </c>
      <c r="C72" s="117"/>
      <c r="D72" s="7"/>
      <c r="E72" s="1"/>
      <c r="F72" s="71">
        <f>F71</f>
        <v>0</v>
      </c>
      <c r="G72" s="71">
        <f>G71</f>
        <v>13.408019259067169</v>
      </c>
      <c r="H72" s="118">
        <f>H71</f>
        <v>16.041980740932829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7469.88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5600.11</v>
      </c>
      <c r="C77" s="130"/>
      <c r="D77" s="131" t="s">
        <v>100</v>
      </c>
      <c r="E77" s="6"/>
      <c r="F77" s="6"/>
      <c r="G77" s="132"/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5600.11</v>
      </c>
      <c r="C80" s="130"/>
      <c r="D80" s="131"/>
      <c r="E80" s="6"/>
      <c r="F80" s="6"/>
      <c r="G80" s="129">
        <f>SUM(G77:G79)</f>
        <v>0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7440.43</v>
      </c>
      <c r="C81" s="3"/>
      <c r="D81" s="4"/>
      <c r="E81" s="5"/>
      <c r="F81" s="5"/>
      <c r="G81" s="5"/>
      <c r="H81" s="128" t="str">
        <f>IF(B80-G80=0,"ok","NO")</f>
        <v>NO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29.45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7469.88</v>
      </c>
      <c r="C83" s="128" t="str">
        <f>IF(B75=B83,"ok","NO")</f>
        <v>ok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0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B3A68-C17E-4EC8-9841-42E61775DE72}">
  <sheetPr>
    <tabColor rgb="FF00B050"/>
    <pageSetUpPr fitToPage="1"/>
  </sheetPr>
  <dimension ref="A2:Z99"/>
  <sheetViews>
    <sheetView zoomScale="70" zoomScaleNormal="70" zoomScalePageLayoutView="70" workbookViewId="0">
      <selection activeCell="B81" sqref="B81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5.37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43728</v>
      </c>
      <c r="K2" s="9"/>
      <c r="M2" s="5" t="s">
        <v>1</v>
      </c>
    </row>
    <row r="3" spans="1:19" x14ac:dyDescent="0.25">
      <c r="A3" s="10" t="s">
        <v>2</v>
      </c>
      <c r="B3" s="8">
        <v>43721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0.8</v>
      </c>
    </row>
    <row r="7" spans="1:19" x14ac:dyDescent="0.25">
      <c r="A7" s="25" t="s">
        <v>14</v>
      </c>
      <c r="B7" s="26">
        <v>45745.29</v>
      </c>
      <c r="C7" s="27">
        <f>B7-F7-G7-H7</f>
        <v>0</v>
      </c>
      <c r="D7" s="28">
        <v>6500</v>
      </c>
      <c r="E7" s="29"/>
      <c r="F7" s="30">
        <v>7158.11</v>
      </c>
      <c r="G7" s="30">
        <v>16456.849999999999</v>
      </c>
      <c r="H7" s="31">
        <f t="shared" ref="H7:H31" si="0">B7-F7-G7</f>
        <v>22130.33</v>
      </c>
      <c r="I7" s="12">
        <v>1</v>
      </c>
      <c r="J7" s="13">
        <v>6500</v>
      </c>
      <c r="K7" s="32">
        <f>H7+H31</f>
        <v>22130.33</v>
      </c>
      <c r="M7" s="5" t="s">
        <v>15</v>
      </c>
      <c r="P7" s="5">
        <v>1</v>
      </c>
      <c r="Q7" s="13">
        <v>6500</v>
      </c>
      <c r="R7" s="33">
        <f>+K7*$R$6</f>
        <v>17704.264000000003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2464.41</v>
      </c>
      <c r="C10" s="27"/>
      <c r="D10" s="4">
        <v>6040</v>
      </c>
      <c r="F10" s="35"/>
      <c r="G10" s="35">
        <v>452.08</v>
      </c>
      <c r="H10" s="37">
        <f t="shared" si="0"/>
        <v>2012.33</v>
      </c>
      <c r="I10" s="12">
        <v>1</v>
      </c>
      <c r="J10" s="13">
        <v>6580</v>
      </c>
      <c r="K10" s="32">
        <f>ROUND($H$42+$H$43+$H$44+$H$45-$H$15+$H$46,2)</f>
        <v>2375.77</v>
      </c>
      <c r="M10" s="39" t="s">
        <v>21</v>
      </c>
      <c r="P10" s="5">
        <v>1</v>
      </c>
      <c r="Q10" s="13">
        <v>6580</v>
      </c>
      <c r="R10" s="33">
        <f>+K10*$R$6</f>
        <v>1900.616</v>
      </c>
      <c r="S10" s="32"/>
    </row>
    <row r="11" spans="1:19" x14ac:dyDescent="0.25">
      <c r="A11" s="34" t="s">
        <v>22</v>
      </c>
      <c r="B11" s="40">
        <v>2725.31</v>
      </c>
      <c r="C11" s="27">
        <f t="shared" ref="C11:C30" si="1">B11-F11-G11-H11</f>
        <v>0</v>
      </c>
      <c r="D11" s="4">
        <v>2100</v>
      </c>
      <c r="F11" s="41"/>
      <c r="G11" s="41"/>
      <c r="H11" s="37">
        <f t="shared" si="0"/>
        <v>2725.31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637.37</v>
      </c>
      <c r="C12" s="27">
        <f t="shared" si="1"/>
        <v>0</v>
      </c>
      <c r="D12" s="4">
        <v>2100</v>
      </c>
      <c r="F12" s="41"/>
      <c r="G12" s="41"/>
      <c r="H12" s="37">
        <f t="shared" si="0"/>
        <v>637.37</v>
      </c>
      <c r="I12" s="12">
        <v>1</v>
      </c>
      <c r="J12" s="13">
        <v>6570</v>
      </c>
      <c r="K12" s="32">
        <f>-H23+H51+H58</f>
        <v>387.8</v>
      </c>
      <c r="M12" s="5" t="s">
        <v>25</v>
      </c>
      <c r="P12" s="5">
        <v>1</v>
      </c>
      <c r="Q12" s="13">
        <v>6570</v>
      </c>
      <c r="R12" s="33">
        <f>+K12*R6</f>
        <v>310.24</v>
      </c>
      <c r="S12" s="32"/>
    </row>
    <row r="13" spans="1:19" x14ac:dyDescent="0.25">
      <c r="A13" s="34" t="s">
        <v>26</v>
      </c>
      <c r="B13" s="42">
        <v>3545.49</v>
      </c>
      <c r="C13" s="27">
        <f t="shared" si="1"/>
        <v>0</v>
      </c>
      <c r="D13" s="4">
        <v>2110</v>
      </c>
      <c r="F13" s="41"/>
      <c r="G13" s="41"/>
      <c r="H13" s="37">
        <f t="shared" si="0"/>
        <v>3545.49</v>
      </c>
      <c r="I13" s="12">
        <v>1</v>
      </c>
      <c r="J13" s="13">
        <v>6571</v>
      </c>
      <c r="K13" s="32">
        <f>ROUND(H55,2)</f>
        <v>602.94000000000005</v>
      </c>
      <c r="M13" s="43" t="s">
        <v>27</v>
      </c>
      <c r="P13" s="5">
        <v>1</v>
      </c>
      <c r="Q13" s="13">
        <v>6571</v>
      </c>
      <c r="R13" s="33">
        <f>+K13*$R$6</f>
        <v>482.35200000000009</v>
      </c>
      <c r="S13" s="32"/>
    </row>
    <row r="14" spans="1:19" x14ac:dyDescent="0.25">
      <c r="A14" s="34" t="s">
        <v>28</v>
      </c>
      <c r="B14" s="42">
        <v>1900.5</v>
      </c>
      <c r="C14" s="27">
        <f t="shared" si="1"/>
        <v>0</v>
      </c>
      <c r="D14" s="4">
        <v>2120</v>
      </c>
      <c r="F14" s="41"/>
      <c r="G14" s="41"/>
      <c r="H14" s="37">
        <f t="shared" si="0"/>
        <v>1900.5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25.2</v>
      </c>
      <c r="C15" s="27">
        <f t="shared" si="1"/>
        <v>0</v>
      </c>
      <c r="D15" s="4">
        <v>6580</v>
      </c>
      <c r="F15" s="44">
        <v>1.2</v>
      </c>
      <c r="G15" s="44">
        <v>7.2</v>
      </c>
      <c r="H15" s="37">
        <f t="shared" si="0"/>
        <v>16.8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>
        <f>SUM(R61:R66)</f>
        <v>0</v>
      </c>
    </row>
    <row r="16" spans="1:19" ht="18.75" thickBot="1" x14ac:dyDescent="0.3">
      <c r="A16" s="34" t="s">
        <v>33</v>
      </c>
      <c r="B16" s="51">
        <v>58.72</v>
      </c>
      <c r="C16" s="27">
        <f t="shared" si="1"/>
        <v>0</v>
      </c>
      <c r="D16" s="7">
        <v>2120</v>
      </c>
      <c r="F16" s="44">
        <v>3.77</v>
      </c>
      <c r="G16" s="44">
        <v>15.03</v>
      </c>
      <c r="H16" s="37">
        <f t="shared" si="0"/>
        <v>39.919999999999995</v>
      </c>
      <c r="I16" s="52">
        <v>1</v>
      </c>
      <c r="J16" s="10">
        <v>2120</v>
      </c>
      <c r="K16" s="21">
        <f>-H16</f>
        <v>-39.919999999999995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-31.935999999999996</v>
      </c>
      <c r="S16" s="32"/>
    </row>
    <row r="17" spans="1:26" x14ac:dyDescent="0.25">
      <c r="A17" s="34" t="s">
        <v>35</v>
      </c>
      <c r="B17" s="40">
        <v>14.64</v>
      </c>
      <c r="C17" s="27">
        <f t="shared" si="1"/>
        <v>0</v>
      </c>
      <c r="D17" s="54">
        <v>1830</v>
      </c>
      <c r="F17" s="41"/>
      <c r="G17" s="55"/>
      <c r="H17" s="37">
        <f t="shared" si="0"/>
        <v>14.64</v>
      </c>
      <c r="I17" s="12">
        <v>1</v>
      </c>
      <c r="J17" s="13">
        <v>1830</v>
      </c>
      <c r="K17" s="56">
        <f>ROUND(-H20-H27-H17-H18-H21-H26-H28,2)</f>
        <v>-980.86</v>
      </c>
      <c r="M17" s="5" t="s">
        <v>36</v>
      </c>
      <c r="P17" s="5">
        <v>1</v>
      </c>
      <c r="Q17" s="13">
        <v>1830</v>
      </c>
      <c r="R17" s="33">
        <f>+K17*$R$6</f>
        <v>-784.6880000000001</v>
      </c>
      <c r="S17" s="32"/>
    </row>
    <row r="18" spans="1:26" x14ac:dyDescent="0.25">
      <c r="A18" s="34" t="s">
        <v>37</v>
      </c>
      <c r="B18" s="42">
        <v>87.96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28.079999999999991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42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293.60000000000002</v>
      </c>
      <c r="M19" s="5" t="s">
        <v>40</v>
      </c>
      <c r="P19" s="5">
        <v>1</v>
      </c>
      <c r="Q19" s="13">
        <v>6300</v>
      </c>
      <c r="R19" s="33">
        <f>+K19*$R$6</f>
        <v>234.88000000000002</v>
      </c>
      <c r="S19" s="32"/>
    </row>
    <row r="20" spans="1:26" x14ac:dyDescent="0.25">
      <c r="A20" s="34" t="s">
        <v>41</v>
      </c>
      <c r="B20" s="42">
        <v>1463.39</v>
      </c>
      <c r="C20" s="27">
        <f t="shared" si="1"/>
        <v>0</v>
      </c>
      <c r="D20" s="4">
        <v>1830</v>
      </c>
      <c r="F20" s="41"/>
      <c r="G20" s="44">
        <v>809.87</v>
      </c>
      <c r="H20" s="37">
        <f t="shared" si="0"/>
        <v>653.5200000000001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42">
        <v>174.96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48.960000000000008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42"/>
      <c r="C22" s="27">
        <f t="shared" si="1"/>
        <v>0</v>
      </c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42">
        <v>1773.17</v>
      </c>
      <c r="C23" s="27">
        <f t="shared" si="1"/>
        <v>0</v>
      </c>
      <c r="D23" s="4">
        <v>6570</v>
      </c>
      <c r="F23" s="44">
        <v>172.48</v>
      </c>
      <c r="G23" s="44">
        <v>617.70000000000005</v>
      </c>
      <c r="H23" s="37">
        <f t="shared" si="0"/>
        <v>982.99</v>
      </c>
      <c r="I23" s="12"/>
      <c r="J23" s="13"/>
      <c r="K23" s="59">
        <f>SUM(K7:K22)</f>
        <v>24769.66</v>
      </c>
      <c r="N23" s="1">
        <v>2040</v>
      </c>
      <c r="P23" s="5">
        <v>1</v>
      </c>
      <c r="Q23" s="13">
        <v>2040</v>
      </c>
      <c r="R23" s="60">
        <f>SUM(R7:R22)</f>
        <v>19815.728000000006</v>
      </c>
      <c r="S23" s="6"/>
      <c r="V23" s="32"/>
    </row>
    <row r="24" spans="1:26" ht="18.75" thickTop="1" x14ac:dyDescent="0.25">
      <c r="A24" s="34" t="s">
        <v>48</v>
      </c>
      <c r="B24" s="42">
        <v>465.81</v>
      </c>
      <c r="C24" s="27">
        <f t="shared" si="1"/>
        <v>0</v>
      </c>
      <c r="F24" s="41"/>
      <c r="G24" s="44">
        <v>123.58</v>
      </c>
      <c r="H24" s="37">
        <f t="shared" si="0"/>
        <v>342.23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42">
        <v>132.69</v>
      </c>
      <c r="C25" s="27">
        <f t="shared" si="1"/>
        <v>0</v>
      </c>
      <c r="F25" s="44">
        <v>101.92</v>
      </c>
      <c r="G25" s="44"/>
      <c r="H25" s="37">
        <f t="shared" si="0"/>
        <v>30.769999999999996</v>
      </c>
      <c r="I25" s="61">
        <v>2</v>
      </c>
      <c r="J25" s="62"/>
      <c r="K25" s="32"/>
      <c r="Q25" s="62"/>
      <c r="R25" s="33"/>
      <c r="V25" s="32"/>
    </row>
    <row r="26" spans="1:26" x14ac:dyDescent="0.25">
      <c r="A26" s="34" t="s">
        <v>50</v>
      </c>
      <c r="B26" s="42">
        <v>63.17</v>
      </c>
      <c r="C26" s="27">
        <f t="shared" si="1"/>
        <v>0</v>
      </c>
      <c r="D26" s="54">
        <v>1830</v>
      </c>
      <c r="F26" s="41"/>
      <c r="G26" s="55"/>
      <c r="H26" s="37">
        <f t="shared" si="0"/>
        <v>63.17</v>
      </c>
      <c r="I26" s="12">
        <v>2</v>
      </c>
      <c r="J26" s="13">
        <v>6500</v>
      </c>
      <c r="K26" s="32">
        <f>G7+G31</f>
        <v>16456.849999999999</v>
      </c>
      <c r="M26" s="5" t="s">
        <v>51</v>
      </c>
      <c r="O26" s="32"/>
      <c r="P26" s="5">
        <v>2</v>
      </c>
      <c r="Q26" s="13">
        <v>6500</v>
      </c>
      <c r="R26" s="33">
        <f>+K26*R6</f>
        <v>13165.48</v>
      </c>
      <c r="S26" s="32"/>
      <c r="X26" s="32"/>
    </row>
    <row r="27" spans="1:26" x14ac:dyDescent="0.25">
      <c r="A27" s="34" t="s">
        <v>52</v>
      </c>
      <c r="B27" s="42">
        <v>114.66</v>
      </c>
      <c r="C27" s="63">
        <f t="shared" si="1"/>
        <v>0</v>
      </c>
      <c r="F27" s="41"/>
      <c r="G27" s="55"/>
      <c r="H27" s="37">
        <f t="shared" si="0"/>
        <v>114.66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51">
        <v>86.95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57.83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168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929.16</v>
      </c>
      <c r="M29" s="39" t="s">
        <v>21</v>
      </c>
      <c r="P29" s="5">
        <v>2</v>
      </c>
      <c r="Q29" s="13">
        <v>6580</v>
      </c>
      <c r="R29" s="33">
        <f>+K29*R6</f>
        <v>743.32799999999997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193.9</v>
      </c>
      <c r="M31" s="5" t="s">
        <v>25</v>
      </c>
      <c r="P31" s="5">
        <v>2</v>
      </c>
      <c r="Q31" s="13">
        <v>6570</v>
      </c>
      <c r="R31" s="33">
        <f>+K31*$R$6</f>
        <v>155.12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B7+B8+B10-B11-B12-B13-B14-B15-B16-B19-B29-B20-B26-B25-B28-B17-B21-B18-B23-B22-B24+B30+B31-B27+B9</f>
        <v>34939.710000000006</v>
      </c>
      <c r="C32" s="72">
        <f>B32-F32-G32-H32</f>
        <v>-114.65999999999804</v>
      </c>
      <c r="D32" s="71"/>
      <c r="E32" s="71"/>
      <c r="F32" s="71">
        <f t="shared" ref="F32:G32" si="2">F7+F8+F10-F11-F12-F13-F14-F15-F16-F19-F29-F20-F26-F25-F28-F17-F21-F18-F23-F22-F24+F30+F31-F27+F9</f>
        <v>6867.99</v>
      </c>
      <c r="G32" s="71">
        <f t="shared" si="2"/>
        <v>15131.3</v>
      </c>
      <c r="H32" s="71">
        <f>H7+H8+H10-H11-H12-H13-H14-H15-H16-H19-H29-H20-H26-H25-H28-H17-H21-H18-H23-H22-H24+H30+H31</f>
        <v>13055.080000000007</v>
      </c>
      <c r="I32" s="12">
        <v>2</v>
      </c>
      <c r="J32" s="13">
        <v>6571</v>
      </c>
      <c r="K32" s="32">
        <f>G55</f>
        <v>409.96</v>
      </c>
      <c r="M32" s="43" t="s">
        <v>27</v>
      </c>
      <c r="P32" s="5">
        <v>2</v>
      </c>
      <c r="Q32" s="13">
        <v>6571</v>
      </c>
      <c r="R32" s="33">
        <f>+K32*$R$6</f>
        <v>327.96800000000002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>
        <f>SUM(R75:R81)</f>
        <v>0</v>
      </c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-15.03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-12.024000000000001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-1014.12</v>
      </c>
      <c r="M36" s="5" t="s">
        <v>36</v>
      </c>
      <c r="O36" s="1"/>
      <c r="P36" s="5">
        <v>2</v>
      </c>
      <c r="Q36" s="13">
        <v>1830</v>
      </c>
      <c r="R36" s="33">
        <f>+K36*$R$6</f>
        <v>-811.29600000000005</v>
      </c>
      <c r="S36" s="32"/>
    </row>
    <row r="37" spans="1:22" x14ac:dyDescent="0.25">
      <c r="A37" s="25" t="s">
        <v>66</v>
      </c>
      <c r="B37" s="80">
        <f>B11</f>
        <v>2725.31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2725.31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637.37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637.37</v>
      </c>
      <c r="I38" s="12">
        <v>2</v>
      </c>
      <c r="J38" s="13">
        <v>6300</v>
      </c>
      <c r="K38" s="84">
        <f>ROUND(G70,2)</f>
        <v>146.80000000000001</v>
      </c>
      <c r="M38" s="5" t="s">
        <v>40</v>
      </c>
      <c r="O38" s="1"/>
      <c r="P38" s="5">
        <v>2</v>
      </c>
      <c r="Q38" s="13">
        <v>6300</v>
      </c>
      <c r="R38" s="33">
        <f>+K38*$R$6</f>
        <v>117.44000000000001</v>
      </c>
      <c r="S38" s="32"/>
    </row>
    <row r="39" spans="1:22" x14ac:dyDescent="0.25">
      <c r="A39" s="34" t="s">
        <v>68</v>
      </c>
      <c r="B39" s="83">
        <f>B13</f>
        <v>3545.49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3545.49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1900.5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1900.5</v>
      </c>
      <c r="I40" s="85"/>
      <c r="J40" s="5">
        <v>2040</v>
      </c>
      <c r="K40" s="86">
        <f>SUM(K26:K39)</f>
        <v>17107.52</v>
      </c>
      <c r="N40" s="1">
        <v>2040</v>
      </c>
      <c r="O40" s="1"/>
      <c r="P40" s="5">
        <v>2</v>
      </c>
      <c r="Q40" s="5">
        <v>2040</v>
      </c>
      <c r="R40" s="86">
        <f>SUM(R26:R39)</f>
        <v>13686.016000000001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2725.32</v>
      </c>
      <c r="C42" s="27">
        <f>B42-F42-G42-H42</f>
        <v>0</v>
      </c>
      <c r="D42" s="4">
        <v>6580</v>
      </c>
      <c r="F42" s="90">
        <v>146.44999999999999</v>
      </c>
      <c r="G42" s="90">
        <v>758.88</v>
      </c>
      <c r="H42" s="37">
        <f>B42-F42-G42</f>
        <v>1819.9900000000002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637.39</v>
      </c>
      <c r="C43" s="27">
        <f>B43-F43-G43-H43</f>
        <v>0</v>
      </c>
      <c r="D43" s="4">
        <v>6580</v>
      </c>
      <c r="F43" s="90">
        <v>34.25</v>
      </c>
      <c r="G43" s="90">
        <v>177.48</v>
      </c>
      <c r="H43" s="37">
        <f>B43-F43-G43</f>
        <v>425.65999999999997</v>
      </c>
      <c r="I43" s="12">
        <v>3</v>
      </c>
      <c r="J43" s="13">
        <v>6500</v>
      </c>
      <c r="K43" s="92">
        <f>F7+F31</f>
        <v>7158.11</v>
      </c>
      <c r="M43" s="5" t="s">
        <v>71</v>
      </c>
      <c r="O43" s="1"/>
      <c r="P43" s="5">
        <v>3</v>
      </c>
      <c r="Q43" s="13">
        <v>6500</v>
      </c>
      <c r="R43" s="33">
        <f>+K43*$R$6</f>
        <v>5726.4880000000003</v>
      </c>
      <c r="S43" s="32"/>
    </row>
    <row r="44" spans="1:22" x14ac:dyDescent="0.25">
      <c r="A44" s="34" t="s">
        <v>72</v>
      </c>
      <c r="B44" s="89">
        <v>24.71</v>
      </c>
      <c r="C44" s="27">
        <f>B44-F44-G44-H44</f>
        <v>0</v>
      </c>
      <c r="D44" s="4">
        <v>6580</v>
      </c>
      <c r="F44" s="90"/>
      <c r="G44" s="91"/>
      <c r="H44" s="37">
        <f>B44-G44-F44</f>
        <v>24.71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117.12</v>
      </c>
      <c r="C45" s="27">
        <f>B45-F45-G45-H45</f>
        <v>0</v>
      </c>
      <c r="D45" s="4">
        <v>6580</v>
      </c>
      <c r="F45" s="90"/>
      <c r="G45" s="94"/>
      <c r="H45" s="37">
        <f>B45-G45-F45</f>
        <v>117.12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5.09</v>
      </c>
      <c r="C46" s="27">
        <f>B46-F46-G46-H46</f>
        <v>0</v>
      </c>
      <c r="F46" s="96"/>
      <c r="G46" s="96"/>
      <c r="H46" s="37">
        <f>B46-G46-F46</f>
        <v>5.09</v>
      </c>
      <c r="I46" s="12">
        <v>3</v>
      </c>
      <c r="J46" s="13">
        <v>6580</v>
      </c>
      <c r="K46" s="32">
        <f>ROUND($F$42+$F$43+$F$44+$F$45-$F$15+$F$46,2)</f>
        <v>179.5</v>
      </c>
      <c r="M46" s="39" t="s">
        <v>21</v>
      </c>
      <c r="O46" s="1"/>
      <c r="P46" s="5">
        <v>3</v>
      </c>
      <c r="Q46" s="13">
        <v>6580</v>
      </c>
      <c r="R46" s="33">
        <f>+K46*$R$6</f>
        <v>143.6</v>
      </c>
      <c r="S46" s="32"/>
    </row>
    <row r="47" spans="1:22" ht="18.75" thickBot="1" x14ac:dyDescent="0.3">
      <c r="B47" s="97">
        <f>SUM(B42:B46)</f>
        <v>3509.63</v>
      </c>
      <c r="C47" s="27">
        <f>B48-F47-G47-H47</f>
        <v>0</v>
      </c>
      <c r="D47" s="7"/>
      <c r="E47" s="1"/>
      <c r="F47" s="97">
        <f>SUM(F37:F46)</f>
        <v>180.7</v>
      </c>
      <c r="G47" s="97">
        <f>SUM(G37:G46)</f>
        <v>936.36</v>
      </c>
      <c r="H47" s="71">
        <f>SUM(H37:H46)</f>
        <v>11201.24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12318.3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48.93</v>
      </c>
      <c r="M48" s="5" t="s">
        <v>40</v>
      </c>
      <c r="O48" s="1"/>
      <c r="P48" s="5">
        <v>3</v>
      </c>
      <c r="Q48" s="13">
        <v>6300</v>
      </c>
      <c r="R48" s="33">
        <f>+K48*$R$6</f>
        <v>39.144000000000005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-3.77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-3.016</v>
      </c>
      <c r="S50" s="32"/>
    </row>
    <row r="51" spans="1:23" x14ac:dyDescent="0.25">
      <c r="A51" s="25" t="s">
        <v>78</v>
      </c>
      <c r="B51" s="80">
        <f>B23</f>
        <v>1773.17</v>
      </c>
      <c r="C51" s="106"/>
      <c r="D51" s="28">
        <v>6570</v>
      </c>
      <c r="E51" s="29"/>
      <c r="F51" s="81">
        <f>F23</f>
        <v>172.48</v>
      </c>
      <c r="G51" s="107">
        <f>G23</f>
        <v>617.70000000000005</v>
      </c>
      <c r="H51" s="31">
        <f>B51-G51-F51</f>
        <v>982.99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64.63</v>
      </c>
      <c r="M52" s="5" t="s">
        <v>25</v>
      </c>
      <c r="O52" s="1"/>
      <c r="P52" s="5">
        <v>3</v>
      </c>
      <c r="Q52" s="13">
        <v>6570</v>
      </c>
      <c r="R52" s="33">
        <f>+K52</f>
        <v>64.63</v>
      </c>
      <c r="S52" s="32"/>
    </row>
    <row r="53" spans="1:23" x14ac:dyDescent="0.25">
      <c r="A53" s="34" t="s">
        <v>60</v>
      </c>
      <c r="B53" s="108">
        <f>SUM(B51:B52)</f>
        <v>1773.17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1111.46</v>
      </c>
      <c r="C55" s="111"/>
      <c r="D55" s="4">
        <v>6571</v>
      </c>
      <c r="F55" s="90">
        <v>98.56</v>
      </c>
      <c r="G55" s="90">
        <v>409.96</v>
      </c>
      <c r="H55" s="37">
        <f>B55-F55-G55</f>
        <v>602.94000000000005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114.05</v>
      </c>
      <c r="C56" s="111"/>
      <c r="D56" s="4">
        <v>6571</v>
      </c>
      <c r="F56" s="93"/>
      <c r="G56" s="93"/>
      <c r="H56" s="37">
        <f>B56-F56-G56</f>
        <v>114.05</v>
      </c>
      <c r="I56" s="12"/>
      <c r="J56" s="13"/>
      <c r="K56" s="86">
        <f>SUM(K43:K55)</f>
        <v>7535.21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6069.4060000000018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646.33000000000004</v>
      </c>
      <c r="C58" s="111"/>
      <c r="D58" s="4">
        <v>6570</v>
      </c>
      <c r="F58" s="88">
        <f>ROUND(B58*10%,2)</f>
        <v>64.63</v>
      </c>
      <c r="G58" s="88">
        <f>ROUND(B58*30%,2)</f>
        <v>193.9</v>
      </c>
      <c r="H58" s="37">
        <f>ROUND(B58-F58-G58,2)</f>
        <v>387.8</v>
      </c>
      <c r="I58" s="52">
        <v>1</v>
      </c>
      <c r="J58" s="10">
        <v>1012</v>
      </c>
      <c r="K58" s="113">
        <f>-(K23+K40+K56+K74+K84+K90)-K59</f>
        <v>-51876.800000000003</v>
      </c>
      <c r="M58" s="1"/>
      <c r="N58" s="32">
        <f>+'[10]1012-CNB Checking'!$F$60</f>
        <v>51876.800000000003</v>
      </c>
      <c r="O58" s="114">
        <f>+K58+N58+K59</f>
        <v>0</v>
      </c>
      <c r="P58" s="32"/>
      <c r="R58" s="33"/>
    </row>
    <row r="59" spans="1:23" ht="18.75" thickTop="1" x14ac:dyDescent="0.25">
      <c r="A59" s="34" t="s">
        <v>48</v>
      </c>
      <c r="B59" s="83">
        <f>B24</f>
        <v>465.81</v>
      </c>
      <c r="C59" s="27"/>
      <c r="F59" s="88">
        <f>F24</f>
        <v>0</v>
      </c>
      <c r="G59" s="88">
        <f>G24</f>
        <v>123.58</v>
      </c>
      <c r="H59" s="37">
        <f>B59-F59-G59</f>
        <v>342.23</v>
      </c>
      <c r="I59" s="52">
        <v>1</v>
      </c>
      <c r="J59" s="10">
        <v>1012</v>
      </c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132.69</v>
      </c>
      <c r="C60" s="27"/>
      <c r="F60" s="88">
        <f>F25</f>
        <v>101.92</v>
      </c>
      <c r="G60" s="88">
        <f>G25</f>
        <v>0</v>
      </c>
      <c r="H60" s="37">
        <f>B60-F60-G60</f>
        <v>30.769999999999996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4129.46</v>
      </c>
      <c r="C61" s="117"/>
      <c r="D61" s="7"/>
      <c r="E61" s="1"/>
      <c r="F61" s="71">
        <f>F51+F55</f>
        <v>271.03999999999996</v>
      </c>
      <c r="G61" s="71">
        <f>G51+G55</f>
        <v>1027.6600000000001</v>
      </c>
      <c r="H61" s="118">
        <f>B61-G61</f>
        <v>3101.8</v>
      </c>
      <c r="I61" s="115">
        <v>1</v>
      </c>
      <c r="J61" s="119">
        <v>1831</v>
      </c>
      <c r="K61" s="120"/>
      <c r="M61" s="5" t="s">
        <v>42</v>
      </c>
      <c r="O61" s="121"/>
      <c r="P61" s="115">
        <v>1</v>
      </c>
      <c r="Q61" s="119">
        <v>1831</v>
      </c>
      <c r="R61" s="16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>
        <v>2012.33</v>
      </c>
      <c r="M62" s="5" t="s">
        <v>132</v>
      </c>
      <c r="O62" s="1"/>
      <c r="P62" s="115">
        <v>1</v>
      </c>
      <c r="Q62" s="5">
        <v>6565</v>
      </c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85">
        <v>1</v>
      </c>
      <c r="Q63" s="5">
        <v>1831</v>
      </c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>
        <v>1</v>
      </c>
      <c r="Q64" s="5">
        <v>6630</v>
      </c>
      <c r="R64" s="16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/>
      <c r="M65" s="5" t="s">
        <v>90</v>
      </c>
      <c r="O65" s="1"/>
      <c r="P65" s="85">
        <v>1</v>
      </c>
      <c r="Q65" s="5">
        <v>6630</v>
      </c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/>
      <c r="M66" s="5" t="s">
        <v>133</v>
      </c>
      <c r="O66" s="1"/>
      <c r="P66" s="85">
        <v>1</v>
      </c>
      <c r="Q66" s="5">
        <v>6551</v>
      </c>
      <c r="R66" s="16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>
        <v>1</v>
      </c>
      <c r="Q67" s="5">
        <v>6012</v>
      </c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>
        <f>487.64+1.69</f>
        <v>489.33</v>
      </c>
      <c r="C70" s="106"/>
      <c r="D70" s="28">
        <v>6300</v>
      </c>
      <c r="E70" s="29"/>
      <c r="F70" s="81">
        <f>B70*F69</f>
        <v>48.933</v>
      </c>
      <c r="G70" s="107">
        <f>B70*G69</f>
        <v>146.79899999999998</v>
      </c>
      <c r="H70" s="31">
        <f>B70*H69-0</f>
        <v>293.59799999999996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48.933</v>
      </c>
      <c r="G71" s="71">
        <f>G70</f>
        <v>146.79899999999998</v>
      </c>
      <c r="H71" s="118">
        <f>H70</f>
        <v>293.59799999999996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51387.47</v>
      </c>
      <c r="F74" s="6"/>
      <c r="I74" s="85" t="s">
        <v>97</v>
      </c>
      <c r="K74" s="129">
        <f>SUM(K61:K73)</f>
        <v>2012.33</v>
      </c>
      <c r="O74" s="1"/>
      <c r="R74" s="162"/>
    </row>
    <row r="75" spans="1:20" ht="18.75" thickBot="1" x14ac:dyDescent="0.3">
      <c r="F75" s="6"/>
      <c r="I75" s="85">
        <v>2</v>
      </c>
      <c r="J75" s="167">
        <v>6565</v>
      </c>
      <c r="K75" s="120"/>
      <c r="M75" s="5" t="s">
        <v>132</v>
      </c>
      <c r="O75" s="1"/>
      <c r="P75" s="85">
        <v>2</v>
      </c>
      <c r="Q75" s="119" t="s">
        <v>107</v>
      </c>
      <c r="R75" s="163"/>
      <c r="S75" s="32"/>
    </row>
    <row r="76" spans="1:20" x14ac:dyDescent="0.25">
      <c r="A76" s="129" t="s">
        <v>99</v>
      </c>
      <c r="B76" s="26">
        <v>34825.660000000003</v>
      </c>
      <c r="C76" s="130"/>
      <c r="D76" s="131" t="s">
        <v>100</v>
      </c>
      <c r="E76" s="6"/>
      <c r="F76" s="6"/>
      <c r="G76" s="132">
        <v>34825.660000000003</v>
      </c>
      <c r="H76" s="6"/>
      <c r="I76" s="85">
        <v>2</v>
      </c>
      <c r="J76" s="119">
        <v>1831</v>
      </c>
      <c r="K76" s="120"/>
      <c r="M76" s="5" t="s">
        <v>42</v>
      </c>
      <c r="O76" s="1"/>
      <c r="P76" s="85">
        <v>2</v>
      </c>
      <c r="Q76" s="119">
        <v>1831</v>
      </c>
      <c r="R76" s="16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>
        <v>2</v>
      </c>
      <c r="Q77" s="5">
        <v>6630</v>
      </c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85">
        <v>2</v>
      </c>
      <c r="Q78" s="5">
        <v>6630</v>
      </c>
      <c r="R78" s="163"/>
      <c r="S78" s="32"/>
    </row>
    <row r="79" spans="1:20" ht="18.75" thickBot="1" x14ac:dyDescent="0.3">
      <c r="A79" s="134" t="s">
        <v>104</v>
      </c>
      <c r="B79" s="135">
        <f>ROUND(SUM(B76:B78),2)</f>
        <v>34825.660000000003</v>
      </c>
      <c r="C79" s="130"/>
      <c r="D79" s="131"/>
      <c r="E79" s="6"/>
      <c r="F79" s="6"/>
      <c r="G79" s="129">
        <f>SUM(G76:G78)</f>
        <v>34825.660000000003</v>
      </c>
      <c r="H79" s="6" t="s">
        <v>105</v>
      </c>
      <c r="I79" s="85">
        <v>2</v>
      </c>
      <c r="J79" s="5">
        <v>6551</v>
      </c>
      <c r="K79" s="120">
        <v>440.54</v>
      </c>
      <c r="M79" s="5" t="s">
        <v>91</v>
      </c>
      <c r="O79" s="1"/>
      <c r="P79" s="85">
        <v>2</v>
      </c>
      <c r="Q79" s="5">
        <v>6551</v>
      </c>
      <c r="R79" s="163"/>
      <c r="S79" s="32"/>
    </row>
    <row r="80" spans="1:20" ht="18.75" thickBot="1" x14ac:dyDescent="0.3">
      <c r="A80" s="1" t="s">
        <v>106</v>
      </c>
      <c r="B80" s="26">
        <v>51387.47</v>
      </c>
      <c r="H80" s="128" t="str">
        <f>IF(B79-G79=0,"ok","NO")</f>
        <v>ok</v>
      </c>
      <c r="I80" s="85">
        <v>2</v>
      </c>
      <c r="J80" s="5">
        <v>6040</v>
      </c>
      <c r="K80" s="120"/>
      <c r="M80" s="5" t="s">
        <v>131</v>
      </c>
      <c r="O80" s="1"/>
      <c r="P80" s="85">
        <v>2</v>
      </c>
      <c r="Q80" s="5">
        <v>6040</v>
      </c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162"/>
      <c r="S81" s="32"/>
    </row>
    <row r="82" spans="1:19" ht="18.75" thickBot="1" x14ac:dyDescent="0.3">
      <c r="B82" s="3">
        <f>+B80+B81</f>
        <v>51387.47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452.08000000000004</v>
      </c>
      <c r="O84" s="1"/>
      <c r="P84" s="5">
        <v>3</v>
      </c>
      <c r="Q84" s="5">
        <v>6551</v>
      </c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164"/>
      <c r="S85" s="32"/>
    </row>
    <row r="86" spans="1:19" s="33" customFormat="1" x14ac:dyDescent="0.25">
      <c r="A86" s="5"/>
      <c r="B86" s="32">
        <f>+B83+O58</f>
        <v>0</v>
      </c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132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2464.41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6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D0DD-5167-4B2C-B49D-E75B5446DB2E}">
  <sheetPr>
    <tabColor rgb="FF00B050"/>
    <pageSetUpPr fitToPage="1"/>
  </sheetPr>
  <dimension ref="A2:Z99"/>
  <sheetViews>
    <sheetView zoomScale="70" zoomScaleNormal="70" zoomScalePageLayoutView="70" workbookViewId="0">
      <selection activeCell="P81" sqref="P7:R81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5.37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customWidth="1"/>
    <col min="17" max="17" width="15.25" style="5" customWidth="1"/>
    <col min="18" max="18" width="18.125" style="5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43728</v>
      </c>
      <c r="K2" s="9"/>
      <c r="M2" s="5" t="s">
        <v>1</v>
      </c>
    </row>
    <row r="3" spans="1:19" x14ac:dyDescent="0.25">
      <c r="A3" s="10" t="s">
        <v>2</v>
      </c>
      <c r="B3" s="8">
        <v>43721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1.1000000000000001</v>
      </c>
    </row>
    <row r="7" spans="1:19" x14ac:dyDescent="0.25">
      <c r="A7" s="25" t="s">
        <v>14</v>
      </c>
      <c r="B7" s="26">
        <v>45870.97</v>
      </c>
      <c r="C7" s="27">
        <f>B7-F7-G7-H7</f>
        <v>0</v>
      </c>
      <c r="D7" s="28">
        <v>6500</v>
      </c>
      <c r="E7" s="29"/>
      <c r="F7" s="30">
        <v>3566.16</v>
      </c>
      <c r="G7" s="30">
        <v>16459.55</v>
      </c>
      <c r="H7" s="31">
        <f t="shared" ref="H7:H31" si="0">B7-F7-G7</f>
        <v>25845.26</v>
      </c>
      <c r="I7" s="12">
        <v>1</v>
      </c>
      <c r="J7" s="13">
        <v>6500</v>
      </c>
      <c r="K7" s="32">
        <f>H7+H31</f>
        <v>25845.26</v>
      </c>
      <c r="M7" s="5" t="s">
        <v>15</v>
      </c>
      <c r="P7" s="5">
        <v>1</v>
      </c>
      <c r="Q7" s="13">
        <v>6500</v>
      </c>
      <c r="R7" s="33">
        <f>+K7*$R$6</f>
        <v>28429.786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1362.21</v>
      </c>
      <c r="C10" s="27"/>
      <c r="D10" s="4">
        <v>6040</v>
      </c>
      <c r="F10" s="35"/>
      <c r="G10" s="35">
        <v>805.96</v>
      </c>
      <c r="H10" s="37">
        <f t="shared" si="0"/>
        <v>556.25</v>
      </c>
      <c r="I10" s="12">
        <v>1</v>
      </c>
      <c r="J10" s="13">
        <v>6580</v>
      </c>
      <c r="K10" s="32">
        <f>ROUND($H$42+$H$43+$H$44+$H$45-$H$15+$H$46,2)</f>
        <v>2366.7600000000002</v>
      </c>
      <c r="M10" s="39" t="s">
        <v>21</v>
      </c>
      <c r="P10" s="5">
        <v>1</v>
      </c>
      <c r="Q10" s="13">
        <v>6580</v>
      </c>
      <c r="R10" s="33">
        <f>+K10*$R$6</f>
        <v>2603.4360000000006</v>
      </c>
      <c r="S10" s="32"/>
    </row>
    <row r="11" spans="1:19" x14ac:dyDescent="0.25">
      <c r="A11" s="34" t="s">
        <v>22</v>
      </c>
      <c r="B11" s="40">
        <v>2733.13</v>
      </c>
      <c r="C11" s="27">
        <f t="shared" ref="C11:C30" si="1">B11-F11-G11-H11</f>
        <v>0</v>
      </c>
      <c r="D11" s="4">
        <v>2100</v>
      </c>
      <c r="F11" s="41"/>
      <c r="G11" s="41"/>
      <c r="H11" s="37">
        <f t="shared" si="0"/>
        <v>2733.13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639.19000000000005</v>
      </c>
      <c r="C12" s="27">
        <f t="shared" si="1"/>
        <v>0</v>
      </c>
      <c r="D12" s="4">
        <v>2100</v>
      </c>
      <c r="F12" s="41"/>
      <c r="G12" s="41"/>
      <c r="H12" s="37">
        <f t="shared" si="0"/>
        <v>639.19000000000005</v>
      </c>
      <c r="I12" s="12">
        <v>1</v>
      </c>
      <c r="J12" s="13">
        <v>6570</v>
      </c>
      <c r="K12" s="32">
        <f>-H23+H51+H58</f>
        <v>387.24999999999989</v>
      </c>
      <c r="M12" s="5" t="s">
        <v>25</v>
      </c>
      <c r="P12" s="5">
        <v>1</v>
      </c>
      <c r="Q12" s="13">
        <v>6570</v>
      </c>
      <c r="R12" s="33">
        <f>+K12*R6</f>
        <v>425.97499999999991</v>
      </c>
      <c r="S12" s="32"/>
    </row>
    <row r="13" spans="1:19" x14ac:dyDescent="0.25">
      <c r="A13" s="34" t="s">
        <v>26</v>
      </c>
      <c r="B13" s="42">
        <v>3523.01</v>
      </c>
      <c r="C13" s="27">
        <f t="shared" si="1"/>
        <v>0</v>
      </c>
      <c r="D13" s="4">
        <v>2110</v>
      </c>
      <c r="F13" s="41"/>
      <c r="G13" s="41"/>
      <c r="H13" s="37">
        <f t="shared" si="0"/>
        <v>3523.01</v>
      </c>
      <c r="I13" s="12">
        <v>1</v>
      </c>
      <c r="J13" s="13">
        <v>6571</v>
      </c>
      <c r="K13" s="32">
        <f>ROUND(H55,2)</f>
        <v>644.54</v>
      </c>
      <c r="M13" s="43" t="s">
        <v>27</v>
      </c>
      <c r="P13" s="5">
        <v>1</v>
      </c>
      <c r="Q13" s="13">
        <v>6571</v>
      </c>
      <c r="R13" s="33">
        <f>+K13*$R$6</f>
        <v>708.99400000000003</v>
      </c>
      <c r="S13" s="32"/>
    </row>
    <row r="14" spans="1:19" x14ac:dyDescent="0.25">
      <c r="A14" s="34" t="s">
        <v>28</v>
      </c>
      <c r="B14" s="42">
        <v>1888.63</v>
      </c>
      <c r="C14" s="27">
        <f t="shared" si="1"/>
        <v>0</v>
      </c>
      <c r="D14" s="4">
        <v>2120</v>
      </c>
      <c r="F14" s="41"/>
      <c r="G14" s="41"/>
      <c r="H14" s="37">
        <f t="shared" si="0"/>
        <v>1888.63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26.4</v>
      </c>
      <c r="C15" s="27">
        <f t="shared" si="1"/>
        <v>0</v>
      </c>
      <c r="D15" s="4">
        <v>6580</v>
      </c>
      <c r="F15" s="44">
        <v>1.2</v>
      </c>
      <c r="G15" s="44">
        <v>7.2</v>
      </c>
      <c r="H15" s="37">
        <f t="shared" si="0"/>
        <v>18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>
        <f>SUM(R61:R66)</f>
        <v>556.25</v>
      </c>
    </row>
    <row r="16" spans="1:19" ht="18.75" thickBot="1" x14ac:dyDescent="0.3">
      <c r="A16" s="34" t="s">
        <v>33</v>
      </c>
      <c r="B16" s="51">
        <v>58.02</v>
      </c>
      <c r="C16" s="27">
        <f t="shared" si="1"/>
        <v>0</v>
      </c>
      <c r="D16" s="7">
        <v>2120</v>
      </c>
      <c r="F16" s="44">
        <v>3.77</v>
      </c>
      <c r="G16" s="44">
        <v>15.12</v>
      </c>
      <c r="H16" s="37">
        <f t="shared" si="0"/>
        <v>39.130000000000003</v>
      </c>
      <c r="I16" s="52">
        <v>1</v>
      </c>
      <c r="J16" s="10">
        <v>2120</v>
      </c>
      <c r="K16" s="21">
        <f>-H16</f>
        <v>-39.130000000000003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-43.043000000000006</v>
      </c>
      <c r="S16" s="32"/>
    </row>
    <row r="17" spans="1:26" x14ac:dyDescent="0.25">
      <c r="A17" s="34" t="s">
        <v>35</v>
      </c>
      <c r="B17" s="40">
        <v>14.64</v>
      </c>
      <c r="C17" s="27">
        <f t="shared" si="1"/>
        <v>0</v>
      </c>
      <c r="D17" s="54">
        <v>1830</v>
      </c>
      <c r="F17" s="41"/>
      <c r="G17" s="55"/>
      <c r="H17" s="37">
        <f t="shared" si="0"/>
        <v>14.64</v>
      </c>
      <c r="I17" s="12">
        <v>1</v>
      </c>
      <c r="J17" s="13">
        <v>1830</v>
      </c>
      <c r="K17" s="56">
        <f>ROUND(-H20-H27-H17-H18-H21-H26-H28,2)</f>
        <v>-955.9</v>
      </c>
      <c r="M17" s="5" t="s">
        <v>36</v>
      </c>
      <c r="P17" s="5">
        <v>1</v>
      </c>
      <c r="Q17" s="13">
        <v>1830</v>
      </c>
      <c r="R17" s="33">
        <f>+K17*$R$6</f>
        <v>-1051.49</v>
      </c>
      <c r="S17" s="32"/>
    </row>
    <row r="18" spans="1:26" x14ac:dyDescent="0.25">
      <c r="A18" s="34" t="s">
        <v>37</v>
      </c>
      <c r="B18" s="42">
        <v>87.96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28.079999999999991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42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299.77</v>
      </c>
      <c r="M19" s="5" t="s">
        <v>40</v>
      </c>
      <c r="P19" s="5">
        <v>1</v>
      </c>
      <c r="Q19" s="13">
        <v>6300</v>
      </c>
      <c r="R19" s="33">
        <f>+K19*$R$6</f>
        <v>329.74700000000001</v>
      </c>
      <c r="S19" s="32"/>
    </row>
    <row r="20" spans="1:26" x14ac:dyDescent="0.25">
      <c r="A20" s="34" t="s">
        <v>41</v>
      </c>
      <c r="B20" s="42">
        <v>1463.39</v>
      </c>
      <c r="C20" s="27">
        <f t="shared" si="1"/>
        <v>0</v>
      </c>
      <c r="D20" s="4">
        <v>1830</v>
      </c>
      <c r="F20" s="41"/>
      <c r="G20" s="44">
        <v>809.87</v>
      </c>
      <c r="H20" s="37">
        <f t="shared" si="0"/>
        <v>653.5200000000001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42">
        <v>150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24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42"/>
      <c r="C22" s="27">
        <f t="shared" si="1"/>
        <v>0</v>
      </c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42">
        <v>1775.66</v>
      </c>
      <c r="C23" s="27">
        <f t="shared" si="1"/>
        <v>0</v>
      </c>
      <c r="D23" s="4">
        <v>6570</v>
      </c>
      <c r="F23" s="44">
        <v>172.48</v>
      </c>
      <c r="G23" s="44">
        <v>620.37</v>
      </c>
      <c r="H23" s="37">
        <f t="shared" si="0"/>
        <v>982.81000000000006</v>
      </c>
      <c r="I23" s="12"/>
      <c r="J23" s="13"/>
      <c r="K23" s="59">
        <f>SUM(K7:K22)</f>
        <v>28548.549999999996</v>
      </c>
      <c r="N23" s="1">
        <v>2040</v>
      </c>
      <c r="P23" s="5">
        <v>1</v>
      </c>
      <c r="Q23" s="13">
        <v>2040</v>
      </c>
      <c r="R23" s="60">
        <f>SUM(R7:R22)</f>
        <v>31959.654999999995</v>
      </c>
      <c r="S23" s="6"/>
      <c r="V23" s="32"/>
    </row>
    <row r="24" spans="1:26" ht="18.75" thickTop="1" x14ac:dyDescent="0.25">
      <c r="A24" s="34" t="s">
        <v>48</v>
      </c>
      <c r="B24" s="42">
        <v>465.81</v>
      </c>
      <c r="C24" s="27">
        <f t="shared" si="1"/>
        <v>0</v>
      </c>
      <c r="F24" s="41"/>
      <c r="G24" s="44">
        <v>123.5</v>
      </c>
      <c r="H24" s="37">
        <f t="shared" si="0"/>
        <v>342.31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42">
        <v>132.69</v>
      </c>
      <c r="C25" s="27">
        <f t="shared" si="1"/>
        <v>0</v>
      </c>
      <c r="F25" s="44">
        <v>101.92</v>
      </c>
      <c r="G25" s="44"/>
      <c r="H25" s="37">
        <f t="shared" si="0"/>
        <v>30.769999999999996</v>
      </c>
      <c r="I25" s="61">
        <v>2</v>
      </c>
      <c r="J25" s="62"/>
      <c r="K25" s="32"/>
      <c r="Q25" s="62"/>
      <c r="R25" s="33"/>
      <c r="V25" s="32"/>
    </row>
    <row r="26" spans="1:26" x14ac:dyDescent="0.25">
      <c r="A26" s="34" t="s">
        <v>50</v>
      </c>
      <c r="B26" s="42">
        <v>63.17</v>
      </c>
      <c r="C26" s="27">
        <f t="shared" si="1"/>
        <v>0</v>
      </c>
      <c r="D26" s="54">
        <v>1830</v>
      </c>
      <c r="F26" s="41"/>
      <c r="G26" s="55"/>
      <c r="H26" s="37">
        <f t="shared" si="0"/>
        <v>63.17</v>
      </c>
      <c r="I26" s="12">
        <v>2</v>
      </c>
      <c r="J26" s="13">
        <v>6500</v>
      </c>
      <c r="K26" s="32">
        <f>G7+G31</f>
        <v>16459.55</v>
      </c>
      <c r="M26" s="5" t="s">
        <v>51</v>
      </c>
      <c r="O26" s="32"/>
      <c r="P26" s="5">
        <v>2</v>
      </c>
      <c r="Q26" s="13">
        <v>6500</v>
      </c>
      <c r="R26" s="33">
        <f>+K26*R6</f>
        <v>18105.505000000001</v>
      </c>
      <c r="S26" s="32"/>
      <c r="X26" s="32"/>
    </row>
    <row r="27" spans="1:26" x14ac:dyDescent="0.25">
      <c r="A27" s="34" t="s">
        <v>52</v>
      </c>
      <c r="B27" s="42">
        <v>114.66</v>
      </c>
      <c r="C27" s="63">
        <f t="shared" si="1"/>
        <v>0</v>
      </c>
      <c r="F27" s="41"/>
      <c r="G27" s="55"/>
      <c r="H27" s="37">
        <f t="shared" si="0"/>
        <v>114.66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51">
        <v>86.95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57.83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168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933.25</v>
      </c>
      <c r="M29" s="39" t="s">
        <v>21</v>
      </c>
      <c r="P29" s="5">
        <v>2</v>
      </c>
      <c r="Q29" s="13">
        <v>6580</v>
      </c>
      <c r="R29" s="33">
        <f>+K29*R6</f>
        <v>1026.575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193.62</v>
      </c>
      <c r="M31" s="5" t="s">
        <v>25</v>
      </c>
      <c r="P31" s="5">
        <v>2</v>
      </c>
      <c r="Q31" s="13">
        <v>6570</v>
      </c>
      <c r="R31" s="33">
        <f>+K31*$R$6</f>
        <v>212.98200000000003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B7+B8+B10-B11-B12-B13-B14-B15-B16-B19-B29-B20-B26-B25-B28-B17-B21-B18-B23-B22-B24+B30+B31-B27+B9</f>
        <v>34009.870000000003</v>
      </c>
      <c r="C32" s="72">
        <f>B32-F32-G32-H32</f>
        <v>-114.65999999999622</v>
      </c>
      <c r="D32" s="71"/>
      <c r="E32" s="71"/>
      <c r="F32" s="71">
        <f t="shared" ref="F32:G32" si="2">F7+F8+F10-F11-F12-F13-F14-F15-F16-F19-F29-F20-F26-F25-F28-F17-F21-F18-F23-F22-F24+F30+F31-F27+F9</f>
        <v>3276.04</v>
      </c>
      <c r="G32" s="71">
        <f t="shared" si="2"/>
        <v>15485.2</v>
      </c>
      <c r="H32" s="71">
        <f>H7+H8+H10-H11-H12-H13-H14-H15-H16-H19-H29-H20-H26-H25-H28-H17-H21-H18-H23-H22-H24+H30+H31</f>
        <v>15363.289999999997</v>
      </c>
      <c r="I32" s="12">
        <v>2</v>
      </c>
      <c r="J32" s="13">
        <v>6571</v>
      </c>
      <c r="K32" s="32">
        <f>G55</f>
        <v>369.62</v>
      </c>
      <c r="M32" s="43" t="s">
        <v>27</v>
      </c>
      <c r="P32" s="5">
        <v>2</v>
      </c>
      <c r="Q32" s="13">
        <v>6571</v>
      </c>
      <c r="R32" s="33">
        <f>+K32*$R$6</f>
        <v>406.58200000000005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>
        <f>SUM(R75:R81)</f>
        <v>805.95999999999992</v>
      </c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-15.12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-16.632000000000001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-1014.12</v>
      </c>
      <c r="M36" s="5" t="s">
        <v>36</v>
      </c>
      <c r="O36" s="1"/>
      <c r="P36" s="5">
        <v>2</v>
      </c>
      <c r="Q36" s="13">
        <v>1830</v>
      </c>
      <c r="R36" s="33">
        <f>+K36*$R$6</f>
        <v>-1115.5320000000002</v>
      </c>
      <c r="S36" s="32"/>
    </row>
    <row r="37" spans="1:22" x14ac:dyDescent="0.25">
      <c r="A37" s="25" t="s">
        <v>66</v>
      </c>
      <c r="B37" s="80">
        <f>B11</f>
        <v>2733.13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2733.13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639.19000000000005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639.19000000000005</v>
      </c>
      <c r="I38" s="12">
        <v>2</v>
      </c>
      <c r="J38" s="13">
        <v>6300</v>
      </c>
      <c r="K38" s="84">
        <f>ROUND(G70,2)</f>
        <v>149.88999999999999</v>
      </c>
      <c r="M38" s="5" t="s">
        <v>40</v>
      </c>
      <c r="O38" s="1"/>
      <c r="P38" s="5">
        <v>2</v>
      </c>
      <c r="Q38" s="13">
        <v>6300</v>
      </c>
      <c r="R38" s="33">
        <f>+K38*$R$6</f>
        <v>164.87899999999999</v>
      </c>
      <c r="S38" s="32"/>
    </row>
    <row r="39" spans="1:22" x14ac:dyDescent="0.25">
      <c r="A39" s="34" t="s">
        <v>68</v>
      </c>
      <c r="B39" s="83">
        <f>B13</f>
        <v>3523.01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3523.01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1888.63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1888.63</v>
      </c>
      <c r="I40" s="85"/>
      <c r="J40" s="5">
        <v>2040</v>
      </c>
      <c r="K40" s="86">
        <f>SUM(K26:K39)</f>
        <v>17076.689999999999</v>
      </c>
      <c r="N40" s="1">
        <v>2040</v>
      </c>
      <c r="O40" s="1"/>
      <c r="P40" s="5">
        <v>2</v>
      </c>
      <c r="Q40" s="5">
        <v>2040</v>
      </c>
      <c r="R40" s="86">
        <f>SUM(R26:R39)</f>
        <v>19590.319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2733.12</v>
      </c>
      <c r="C42" s="27">
        <f>B42-F42-G42-H42</f>
        <v>0</v>
      </c>
      <c r="D42" s="4">
        <v>6580</v>
      </c>
      <c r="F42" s="90">
        <v>146.44999999999999</v>
      </c>
      <c r="G42" s="90">
        <v>762.19</v>
      </c>
      <c r="H42" s="37">
        <f>B42-F42-G42</f>
        <v>1824.48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639.21</v>
      </c>
      <c r="C43" s="27">
        <f>B43-F43-G43-H43</f>
        <v>0</v>
      </c>
      <c r="D43" s="4">
        <v>6580</v>
      </c>
      <c r="F43" s="90">
        <v>34.25</v>
      </c>
      <c r="G43" s="90">
        <v>178.26</v>
      </c>
      <c r="H43" s="37">
        <f>B43-F43-G43</f>
        <v>426.70000000000005</v>
      </c>
      <c r="I43" s="12">
        <v>3</v>
      </c>
      <c r="J43" s="13">
        <v>6500</v>
      </c>
      <c r="K43" s="92">
        <f>F7+F31</f>
        <v>3566.16</v>
      </c>
      <c r="M43" s="5" t="s">
        <v>71</v>
      </c>
      <c r="O43" s="1"/>
      <c r="P43" s="5">
        <v>3</v>
      </c>
      <c r="Q43" s="13">
        <v>6500</v>
      </c>
      <c r="R43" s="33">
        <f>+K43*$R$6</f>
        <v>3922.7760000000003</v>
      </c>
      <c r="S43" s="32"/>
    </row>
    <row r="44" spans="1:22" x14ac:dyDescent="0.25">
      <c r="A44" s="34" t="s">
        <v>72</v>
      </c>
      <c r="B44" s="89">
        <v>9.92</v>
      </c>
      <c r="C44" s="27">
        <f>B44-F44-G44-H44</f>
        <v>0</v>
      </c>
      <c r="D44" s="4">
        <v>6580</v>
      </c>
      <c r="F44" s="90"/>
      <c r="G44" s="91"/>
      <c r="H44" s="37">
        <f>B44-G44-F44</f>
        <v>9.92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118.52</v>
      </c>
      <c r="C45" s="27">
        <f>B45-F45-G45-H45</f>
        <v>0</v>
      </c>
      <c r="D45" s="4">
        <v>6580</v>
      </c>
      <c r="F45" s="90"/>
      <c r="G45" s="94"/>
      <c r="H45" s="37">
        <f>B45-G45-F45</f>
        <v>118.52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5.14</v>
      </c>
      <c r="C46" s="27">
        <f>B46-F46-G46-H46</f>
        <v>0</v>
      </c>
      <c r="F46" s="96"/>
      <c r="G46" s="96"/>
      <c r="H46" s="37">
        <f>B46-G46-F46</f>
        <v>5.14</v>
      </c>
      <c r="I46" s="12">
        <v>3</v>
      </c>
      <c r="J46" s="13">
        <v>6580</v>
      </c>
      <c r="K46" s="32">
        <f>ROUND($F$42+$F$43+$F$44+$F$45-$F$15+$F$46,2)</f>
        <v>179.5</v>
      </c>
      <c r="M46" s="39" t="s">
        <v>21</v>
      </c>
      <c r="O46" s="1"/>
      <c r="P46" s="5">
        <v>3</v>
      </c>
      <c r="Q46" s="13">
        <v>6580</v>
      </c>
      <c r="R46" s="33">
        <f>+K46*$R$6</f>
        <v>197.45000000000002</v>
      </c>
      <c r="S46" s="32"/>
    </row>
    <row r="47" spans="1:22" ht="18.75" thickBot="1" x14ac:dyDescent="0.3">
      <c r="B47" s="97">
        <f>SUM(B42:B46)</f>
        <v>3505.91</v>
      </c>
      <c r="C47" s="27">
        <f>B48-F47-G47-H47</f>
        <v>0</v>
      </c>
      <c r="D47" s="7"/>
      <c r="E47" s="1"/>
      <c r="F47" s="97">
        <f>SUM(F37:F46)</f>
        <v>180.7</v>
      </c>
      <c r="G47" s="97">
        <f>SUM(G37:G46)</f>
        <v>940.45</v>
      </c>
      <c r="H47" s="71">
        <f>SUM(H37:H46)</f>
        <v>11168.72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12289.869999999997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49.96</v>
      </c>
      <c r="M48" s="5" t="s">
        <v>40</v>
      </c>
      <c r="O48" s="1"/>
      <c r="P48" s="5">
        <v>3</v>
      </c>
      <c r="Q48" s="13">
        <v>6300</v>
      </c>
      <c r="R48" s="33">
        <f>+K48*$R$6</f>
        <v>54.956000000000003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-3.77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-4.1470000000000002</v>
      </c>
      <c r="S50" s="32"/>
    </row>
    <row r="51" spans="1:23" x14ac:dyDescent="0.25">
      <c r="A51" s="25" t="s">
        <v>78</v>
      </c>
      <c r="B51" s="80">
        <f>B23</f>
        <v>1775.66</v>
      </c>
      <c r="C51" s="106"/>
      <c r="D51" s="28">
        <v>6570</v>
      </c>
      <c r="E51" s="29"/>
      <c r="F51" s="81">
        <f>F23</f>
        <v>172.48</v>
      </c>
      <c r="G51" s="107">
        <f>G23</f>
        <v>620.37</v>
      </c>
      <c r="H51" s="31">
        <f>B51-G51-F51</f>
        <v>982.81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64.540000000000006</v>
      </c>
      <c r="M52" s="5" t="s">
        <v>25</v>
      </c>
      <c r="O52" s="1"/>
      <c r="P52" s="5">
        <v>3</v>
      </c>
      <c r="Q52" s="13">
        <v>6570</v>
      </c>
      <c r="R52" s="33">
        <f>+K52</f>
        <v>64.540000000000006</v>
      </c>
      <c r="S52" s="32"/>
    </row>
    <row r="53" spans="1:23" x14ac:dyDescent="0.25">
      <c r="A53" s="34" t="s">
        <v>60</v>
      </c>
      <c r="B53" s="108">
        <f>SUM(B51:B52)</f>
        <v>1775.66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1112.72</v>
      </c>
      <c r="C55" s="111"/>
      <c r="D55" s="4">
        <v>6571</v>
      </c>
      <c r="F55" s="90">
        <v>98.56</v>
      </c>
      <c r="G55" s="90">
        <v>369.62</v>
      </c>
      <c r="H55" s="37">
        <f>B55-F55-G55</f>
        <v>644.54000000000008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114.05</v>
      </c>
      <c r="C56" s="111"/>
      <c r="D56" s="4">
        <v>6571</v>
      </c>
      <c r="F56" s="93"/>
      <c r="G56" s="93"/>
      <c r="H56" s="37">
        <f>B56-F56-G56</f>
        <v>114.05</v>
      </c>
      <c r="I56" s="12"/>
      <c r="J56" s="13"/>
      <c r="K56" s="86">
        <f>SUM(K43:K55)</f>
        <v>3944.2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4334.1350000000011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645.41</v>
      </c>
      <c r="C58" s="111"/>
      <c r="D58" s="4">
        <v>6570</v>
      </c>
      <c r="F58" s="88">
        <f>ROUND(B58*10%,2)</f>
        <v>64.540000000000006</v>
      </c>
      <c r="G58" s="88">
        <f>ROUND(B58*30%,2)</f>
        <v>193.62</v>
      </c>
      <c r="H58" s="37">
        <f>ROUND(B58-F58-G58,2)</f>
        <v>387.25</v>
      </c>
      <c r="I58" s="52">
        <v>1</v>
      </c>
      <c r="J58" s="10">
        <v>1012</v>
      </c>
      <c r="K58" s="113">
        <f>-(K23+K40+K56+K74+K84+K90)-K59</f>
        <v>-50931.649999999987</v>
      </c>
      <c r="M58" s="1"/>
      <c r="N58" s="32">
        <f>+'[11]1012-CNB Checking'!$F$20</f>
        <v>50931.65</v>
      </c>
      <c r="O58" s="114">
        <f>+K58+N58+K59</f>
        <v>1.4551915228366852E-11</v>
      </c>
      <c r="P58" s="32"/>
      <c r="R58" s="33"/>
    </row>
    <row r="59" spans="1:23" ht="18.75" thickTop="1" x14ac:dyDescent="0.25">
      <c r="A59" s="34" t="s">
        <v>48</v>
      </c>
      <c r="B59" s="83">
        <f>B24</f>
        <v>465.81</v>
      </c>
      <c r="C59" s="27"/>
      <c r="F59" s="88">
        <f>F24</f>
        <v>0</v>
      </c>
      <c r="G59" s="88">
        <f>G24</f>
        <v>123.5</v>
      </c>
      <c r="H59" s="37">
        <f>B59-F59-G59</f>
        <v>342.31</v>
      </c>
      <c r="I59" s="52">
        <v>1</v>
      </c>
      <c r="J59" s="10">
        <v>1012</v>
      </c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132.69</v>
      </c>
      <c r="C60" s="27"/>
      <c r="F60" s="88">
        <f>F25</f>
        <v>101.92</v>
      </c>
      <c r="G60" s="88">
        <f>G25</f>
        <v>0</v>
      </c>
      <c r="H60" s="37">
        <f>B60-F60-G60</f>
        <v>30.769999999999996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4132.29</v>
      </c>
      <c r="C61" s="117"/>
      <c r="D61" s="7"/>
      <c r="E61" s="1"/>
      <c r="F61" s="71">
        <f>F51+F55</f>
        <v>271.03999999999996</v>
      </c>
      <c r="G61" s="71">
        <f>G51+G55</f>
        <v>989.99</v>
      </c>
      <c r="H61" s="118">
        <f>B61-G61</f>
        <v>3142.3</v>
      </c>
      <c r="I61" s="115">
        <v>1</v>
      </c>
      <c r="J61" s="119">
        <v>1831</v>
      </c>
      <c r="K61" s="120">
        <v>85</v>
      </c>
      <c r="M61" s="5" t="s">
        <v>42</v>
      </c>
      <c r="O61" s="121"/>
      <c r="P61" s="115">
        <v>1</v>
      </c>
      <c r="Q61" s="119">
        <v>1831</v>
      </c>
      <c r="R61" s="163">
        <f>+K61</f>
        <v>85</v>
      </c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>
        <f>382.89-K75</f>
        <v>230.64999999999998</v>
      </c>
      <c r="M62" s="5" t="s">
        <v>132</v>
      </c>
      <c r="O62" s="1"/>
      <c r="P62" s="115">
        <v>1</v>
      </c>
      <c r="Q62" s="5">
        <v>6565</v>
      </c>
      <c r="R62" s="163">
        <f t="shared" ref="R62:R67" si="3">+K62</f>
        <v>230.64999999999998</v>
      </c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85">
        <v>1</v>
      </c>
      <c r="Q63" s="5">
        <v>1831</v>
      </c>
      <c r="R63" s="163">
        <f t="shared" si="3"/>
        <v>0</v>
      </c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>
        <v>1</v>
      </c>
      <c r="Q64" s="5">
        <v>6630</v>
      </c>
      <c r="R64" s="163">
        <f t="shared" si="3"/>
        <v>0</v>
      </c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/>
      <c r="M65" s="5" t="s">
        <v>90</v>
      </c>
      <c r="O65" s="1"/>
      <c r="P65" s="85">
        <v>1</v>
      </c>
      <c r="Q65" s="5">
        <v>6630</v>
      </c>
      <c r="R65" s="163">
        <f t="shared" si="3"/>
        <v>0</v>
      </c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882.78-K79</f>
        <v>240.60000000000002</v>
      </c>
      <c r="M66" s="5" t="s">
        <v>133</v>
      </c>
      <c r="O66" s="1"/>
      <c r="P66" s="85">
        <v>1</v>
      </c>
      <c r="Q66" s="5">
        <v>6551</v>
      </c>
      <c r="R66" s="163">
        <f t="shared" si="3"/>
        <v>240.60000000000002</v>
      </c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>
        <v>1</v>
      </c>
      <c r="Q67" s="5">
        <v>6012</v>
      </c>
      <c r="R67" s="163">
        <f t="shared" si="3"/>
        <v>0</v>
      </c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>
        <f>497.85+1.77</f>
        <v>499.62</v>
      </c>
      <c r="C70" s="106"/>
      <c r="D70" s="28">
        <v>6300</v>
      </c>
      <c r="E70" s="29"/>
      <c r="F70" s="81">
        <f>B70*F69</f>
        <v>49.962000000000003</v>
      </c>
      <c r="G70" s="107">
        <f>B70*G69</f>
        <v>149.886</v>
      </c>
      <c r="H70" s="31">
        <f>B70*H69-0</f>
        <v>299.77199999999999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49.962000000000003</v>
      </c>
      <c r="G71" s="71">
        <f>G70</f>
        <v>149.886</v>
      </c>
      <c r="H71" s="118">
        <f>H70</f>
        <v>299.77199999999999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50432.03</v>
      </c>
      <c r="F74" s="6"/>
      <c r="I74" s="85" t="s">
        <v>97</v>
      </c>
      <c r="K74" s="129">
        <f>SUM(K61:K73)</f>
        <v>556.25</v>
      </c>
      <c r="O74" s="1"/>
      <c r="R74" s="162"/>
    </row>
    <row r="75" spans="1:20" ht="18.75" thickBot="1" x14ac:dyDescent="0.3">
      <c r="F75" s="6"/>
      <c r="I75" s="85">
        <v>2</v>
      </c>
      <c r="J75" s="167">
        <v>6565</v>
      </c>
      <c r="K75" s="120">
        <v>152.24</v>
      </c>
      <c r="M75" s="5" t="s">
        <v>132</v>
      </c>
      <c r="O75" s="1"/>
      <c r="P75" s="85">
        <v>2</v>
      </c>
      <c r="Q75" s="119" t="s">
        <v>107</v>
      </c>
      <c r="R75" s="163">
        <f t="shared" ref="R75:R81" si="4">+K75</f>
        <v>152.24</v>
      </c>
      <c r="S75" s="32"/>
    </row>
    <row r="76" spans="1:20" x14ac:dyDescent="0.25">
      <c r="A76" s="129" t="s">
        <v>99</v>
      </c>
      <c r="B76" s="26">
        <v>33895.82</v>
      </c>
      <c r="C76" s="130"/>
      <c r="D76" s="131" t="s">
        <v>100</v>
      </c>
      <c r="E76" s="6"/>
      <c r="F76" s="6"/>
      <c r="G76" s="132">
        <v>33895.82</v>
      </c>
      <c r="H76" s="6"/>
      <c r="I76" s="85">
        <v>2</v>
      </c>
      <c r="J76" s="119">
        <v>1831</v>
      </c>
      <c r="K76" s="120"/>
      <c r="M76" s="5" t="s">
        <v>42</v>
      </c>
      <c r="O76" s="1"/>
      <c r="P76" s="85">
        <v>2</v>
      </c>
      <c r="Q76" s="119">
        <v>1831</v>
      </c>
      <c r="R76" s="163">
        <f t="shared" si="4"/>
        <v>0</v>
      </c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>
        <v>2</v>
      </c>
      <c r="Q77" s="5">
        <v>6630</v>
      </c>
      <c r="R77" s="163">
        <f t="shared" si="4"/>
        <v>0</v>
      </c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85">
        <v>2</v>
      </c>
      <c r="Q78" s="5">
        <v>6630</v>
      </c>
      <c r="R78" s="163">
        <f t="shared" si="4"/>
        <v>11.54</v>
      </c>
      <c r="S78" s="32"/>
    </row>
    <row r="79" spans="1:20" ht="18.75" thickBot="1" x14ac:dyDescent="0.3">
      <c r="A79" s="134" t="s">
        <v>104</v>
      </c>
      <c r="B79" s="135">
        <f>ROUND(SUM(B76:B78),2)</f>
        <v>33895.82</v>
      </c>
      <c r="C79" s="130"/>
      <c r="D79" s="131"/>
      <c r="E79" s="6"/>
      <c r="F79" s="6"/>
      <c r="G79" s="129">
        <f>SUM(G76:G78)</f>
        <v>33895.82</v>
      </c>
      <c r="H79" s="6" t="s">
        <v>105</v>
      </c>
      <c r="I79" s="85">
        <v>2</v>
      </c>
      <c r="J79" s="5">
        <v>6551</v>
      </c>
      <c r="K79" s="120">
        <v>642.17999999999995</v>
      </c>
      <c r="M79" s="5" t="s">
        <v>91</v>
      </c>
      <c r="O79" s="1"/>
      <c r="P79" s="85">
        <v>2</v>
      </c>
      <c r="Q79" s="5">
        <v>6551</v>
      </c>
      <c r="R79" s="163">
        <f t="shared" si="4"/>
        <v>642.17999999999995</v>
      </c>
      <c r="S79" s="32"/>
    </row>
    <row r="80" spans="1:20" ht="18.75" thickBot="1" x14ac:dyDescent="0.3">
      <c r="A80" s="1" t="s">
        <v>106</v>
      </c>
      <c r="B80" s="26">
        <v>50432.03</v>
      </c>
      <c r="H80" s="128" t="str">
        <f>IF(B79-G79=0,"ok","NO")</f>
        <v>ok</v>
      </c>
      <c r="I80" s="85">
        <v>2</v>
      </c>
      <c r="J80" s="5">
        <v>6040</v>
      </c>
      <c r="K80" s="120"/>
      <c r="M80" s="5" t="s">
        <v>131</v>
      </c>
      <c r="O80" s="1"/>
      <c r="P80" s="85">
        <v>2</v>
      </c>
      <c r="Q80" s="5">
        <v>6040</v>
      </c>
      <c r="R80" s="163">
        <f t="shared" si="4"/>
        <v>0</v>
      </c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163">
        <f t="shared" si="4"/>
        <v>0</v>
      </c>
      <c r="S81" s="32"/>
    </row>
    <row r="82" spans="1:19" ht="18.75" thickBot="1" x14ac:dyDescent="0.3">
      <c r="B82" s="3">
        <f>+B80+B81</f>
        <v>50432.03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805.95999999999992</v>
      </c>
      <c r="O84" s="1"/>
      <c r="P84" s="5">
        <v>3</v>
      </c>
      <c r="Q84" s="5">
        <v>6551</v>
      </c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164"/>
      <c r="S85" s="32"/>
    </row>
    <row r="86" spans="1:19" s="33" customFormat="1" x14ac:dyDescent="0.25">
      <c r="A86" s="5"/>
      <c r="B86" s="32">
        <f>+B83+O58</f>
        <v>1.4551915228366852E-11</v>
      </c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132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1362.21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6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D0B81-BD4D-4CFA-A8FA-2DD0612DB27A}">
  <sheetPr>
    <tabColor rgb="FF00B0F0"/>
    <pageSetUpPr fitToPage="1"/>
  </sheetPr>
  <dimension ref="A2:Y100"/>
  <sheetViews>
    <sheetView topLeftCell="A25" zoomScale="70" zoomScaleNormal="70" zoomScalePageLayoutView="70" workbookViewId="0">
      <selection activeCell="I7" sqref="I7:K58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2.8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32" width="10.5" style="5"/>
    <col min="33" max="33" width="19.75" style="5" bestFit="1" customWidth="1"/>
    <col min="34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43754</v>
      </c>
      <c r="K2" s="9"/>
      <c r="M2" s="5" t="s">
        <v>1</v>
      </c>
    </row>
    <row r="3" spans="1:24" ht="18.75" thickBot="1" x14ac:dyDescent="0.3">
      <c r="A3" s="10" t="s">
        <v>2</v>
      </c>
      <c r="B3" s="8">
        <v>43738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B6" s="74"/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>
        <f>159+300</f>
        <v>459</v>
      </c>
      <c r="C7" s="27"/>
      <c r="D7" s="28"/>
      <c r="E7" s="29"/>
      <c r="F7" s="30">
        <f>100+(200*0.1)</f>
        <v>120</v>
      </c>
      <c r="G7" s="146">
        <f>123+(200*0.3)</f>
        <v>183</v>
      </c>
      <c r="H7" s="37">
        <f t="shared" ref="H7:H32" si="0">B7-F7-G7</f>
        <v>156</v>
      </c>
      <c r="I7" s="12">
        <v>1</v>
      </c>
      <c r="J7" s="13">
        <v>6510</v>
      </c>
      <c r="K7" s="32">
        <f>+H7</f>
        <v>156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>
        <v>3816.85</v>
      </c>
      <c r="C8" s="27"/>
      <c r="F8" s="127"/>
      <c r="G8" s="127">
        <v>2166.81</v>
      </c>
      <c r="H8" s="37">
        <f t="shared" si="0"/>
        <v>1650.04</v>
      </c>
      <c r="I8" s="12">
        <v>1</v>
      </c>
      <c r="J8" s="13">
        <v>6505</v>
      </c>
      <c r="K8" s="32">
        <f>+H8</f>
        <v>1650.04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/>
      <c r="C9" s="27"/>
      <c r="D9" s="4">
        <v>6500</v>
      </c>
      <c r="F9" s="127"/>
      <c r="G9" s="36"/>
      <c r="H9" s="37">
        <f t="shared" si="0"/>
        <v>0</v>
      </c>
      <c r="I9" s="12">
        <v>1</v>
      </c>
      <c r="J9" s="13">
        <v>6500</v>
      </c>
      <c r="K9" s="32">
        <f>+H9</f>
        <v>0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27"/>
      <c r="F10" s="148"/>
      <c r="G10" s="148"/>
      <c r="H10" s="37">
        <f t="shared" si="0"/>
        <v>0</v>
      </c>
      <c r="I10" s="12">
        <v>1</v>
      </c>
      <c r="J10" s="13">
        <v>6580</v>
      </c>
      <c r="K10" s="32">
        <f>ROUND(H43+H44+H45+H46-H16+H47,2)</f>
        <v>143.9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27"/>
      <c r="F11" s="150"/>
      <c r="G11" s="150"/>
      <c r="H11" s="37">
        <f t="shared" si="0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265.10000000000002</v>
      </c>
      <c r="C12" s="27"/>
      <c r="F12" s="41"/>
      <c r="G12" s="41"/>
      <c r="H12" s="37">
        <f>B12-F12-G12</f>
        <v>265.10000000000002</v>
      </c>
      <c r="I12" s="12">
        <v>1</v>
      </c>
      <c r="J12" s="13">
        <v>6570</v>
      </c>
      <c r="K12" s="32">
        <f>-H24+H52+H59</f>
        <v>18.284895775109039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62.04</v>
      </c>
      <c r="C13" s="27"/>
      <c r="F13" s="41"/>
      <c r="G13" s="41"/>
      <c r="H13" s="37">
        <f t="shared" si="0"/>
        <v>62.04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>
        <v>11.06</v>
      </c>
      <c r="C14" s="27"/>
      <c r="F14" s="41"/>
      <c r="G14" s="41"/>
      <c r="H14" s="37">
        <f t="shared" si="0"/>
        <v>11.06</v>
      </c>
      <c r="I14" s="12">
        <v>1</v>
      </c>
      <c r="J14" s="13">
        <v>6571</v>
      </c>
      <c r="K14" s="32">
        <f>+H56</f>
        <v>72.970000000000013</v>
      </c>
      <c r="L14" s="145"/>
      <c r="M14" s="5" t="s">
        <v>61</v>
      </c>
      <c r="P14" s="1"/>
    </row>
    <row r="15" spans="1:24" x14ac:dyDescent="0.25">
      <c r="A15" s="34" t="s">
        <v>28</v>
      </c>
      <c r="B15" s="151">
        <v>16.260000000000002</v>
      </c>
      <c r="C15" s="27"/>
      <c r="F15" s="41"/>
      <c r="G15" s="41"/>
      <c r="H15" s="37">
        <f t="shared" si="0"/>
        <v>16.260000000000002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>
        <v>3.45</v>
      </c>
      <c r="C16" s="27"/>
      <c r="F16" s="152">
        <v>0.15</v>
      </c>
      <c r="G16" s="44">
        <v>2.94</v>
      </c>
      <c r="H16" s="37">
        <f t="shared" si="0"/>
        <v>0.36000000000000032</v>
      </c>
      <c r="I16" s="52">
        <v>1</v>
      </c>
      <c r="J16" s="10">
        <v>2120</v>
      </c>
      <c r="K16" s="21">
        <f>-H17</f>
        <v>0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1">SUM(R7:R15)</f>
        <v>779.02</v>
      </c>
      <c r="S16" s="154">
        <f t="shared" si="1"/>
        <v>944.95</v>
      </c>
      <c r="T16" s="154">
        <f t="shared" si="1"/>
        <v>348.52</v>
      </c>
      <c r="U16" s="154">
        <f t="shared" si="1"/>
        <v>1512.56</v>
      </c>
      <c r="V16" s="154">
        <f t="shared" si="1"/>
        <v>670.31999999999994</v>
      </c>
      <c r="W16" s="154">
        <f t="shared" si="1"/>
        <v>4475.92</v>
      </c>
      <c r="X16" s="154">
        <f t="shared" si="1"/>
        <v>1797.86</v>
      </c>
    </row>
    <row r="17" spans="1:25" ht="19.5" thickTop="1" thickBot="1" x14ac:dyDescent="0.3">
      <c r="A17" s="34" t="s">
        <v>33</v>
      </c>
      <c r="B17" s="151"/>
      <c r="C17" s="27"/>
      <c r="F17" s="152"/>
      <c r="G17" s="44"/>
      <c r="H17" s="37">
        <f t="shared" si="0"/>
        <v>0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27"/>
      <c r="D18" s="54"/>
      <c r="E18" s="5"/>
      <c r="F18" s="41"/>
      <c r="G18" s="55"/>
      <c r="H18" s="37">
        <f t="shared" si="0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27"/>
      <c r="D19" s="54"/>
      <c r="E19" s="5"/>
      <c r="F19" s="41"/>
      <c r="G19" s="44"/>
      <c r="H19" s="37">
        <f t="shared" si="0"/>
        <v>0</v>
      </c>
      <c r="I19" s="12">
        <v>1</v>
      </c>
      <c r="J19" s="13">
        <v>6300</v>
      </c>
      <c r="K19" s="82">
        <f>ROUND(H72,2)</f>
        <v>13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27"/>
      <c r="D20" s="4"/>
      <c r="E20" s="5"/>
      <c r="F20" s="41"/>
      <c r="G20" s="55"/>
      <c r="H20" s="37">
        <f t="shared" si="0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27"/>
      <c r="D21" s="4"/>
      <c r="E21" s="5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27"/>
      <c r="D22" s="54"/>
      <c r="E22" s="5"/>
      <c r="F22" s="41"/>
      <c r="G22" s="44"/>
      <c r="H22" s="37">
        <f t="shared" si="0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27"/>
      <c r="D23" s="4"/>
      <c r="E23" s="5"/>
      <c r="F23" s="41"/>
      <c r="G23" s="55"/>
      <c r="H23" s="37">
        <f t="shared" si="0"/>
        <v>0</v>
      </c>
      <c r="I23" s="12"/>
      <c r="J23" s="13"/>
      <c r="K23" s="59">
        <f>SUM(K7:K22)</f>
        <v>2054.1948957751092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>
        <v>252.39</v>
      </c>
      <c r="C24" s="27"/>
      <c r="D24" s="4"/>
      <c r="E24" s="5"/>
      <c r="F24" s="152">
        <v>7</v>
      </c>
      <c r="G24" s="44">
        <v>158.71</v>
      </c>
      <c r="H24" s="37">
        <f t="shared" si="0"/>
        <v>86.679999999999978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27"/>
      <c r="D25" s="4"/>
      <c r="E25" s="5"/>
      <c r="F25" s="41"/>
      <c r="G25" s="44"/>
      <c r="H25" s="37">
        <f t="shared" si="0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27"/>
      <c r="D26" s="4"/>
      <c r="E26" s="5"/>
      <c r="F26" s="44"/>
      <c r="G26" s="44"/>
      <c r="H26" s="37">
        <f t="shared" si="0"/>
        <v>0</v>
      </c>
      <c r="I26" s="12">
        <v>2</v>
      </c>
      <c r="J26" s="13">
        <v>6510</v>
      </c>
      <c r="K26" s="32">
        <f>+G7</f>
        <v>183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27"/>
      <c r="D27" s="54"/>
      <c r="E27" s="5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2166.81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63"/>
      <c r="D28" s="4"/>
      <c r="E28" s="5"/>
      <c r="F28" s="41"/>
      <c r="G28" s="55"/>
      <c r="H28" s="37">
        <f t="shared" si="0"/>
        <v>0</v>
      </c>
      <c r="I28" s="12">
        <v>2</v>
      </c>
      <c r="J28" s="13">
        <v>6500</v>
      </c>
      <c r="K28" s="32">
        <f>+G9</f>
        <v>0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27"/>
      <c r="D29" s="54"/>
      <c r="E29" s="5"/>
      <c r="F29" s="41"/>
      <c r="G29" s="44"/>
      <c r="H29" s="37">
        <f t="shared" si="0"/>
        <v>0</v>
      </c>
      <c r="I29" s="12">
        <v>2</v>
      </c>
      <c r="J29" s="13">
        <v>6580</v>
      </c>
      <c r="K29" s="32">
        <f>-G16+G43+G44+G45+G46+G47</f>
        <v>172.21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65"/>
      <c r="D30" s="54"/>
      <c r="E30" s="5"/>
      <c r="F30" s="66"/>
      <c r="G30" s="67"/>
      <c r="H30" s="37">
        <f t="shared" si="0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27"/>
      <c r="D31" s="4"/>
      <c r="E31" s="5"/>
      <c r="F31" s="68"/>
      <c r="G31" s="67"/>
      <c r="H31" s="37">
        <f t="shared" si="0"/>
        <v>0</v>
      </c>
      <c r="I31" s="12">
        <v>2</v>
      </c>
      <c r="J31" s="13">
        <v>6570</v>
      </c>
      <c r="K31" s="32">
        <f>-G24+G52+G59</f>
        <v>23.790187892465823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27">
        <f t="shared" ref="C32" si="2">B32-F32-G32-H32</f>
        <v>0</v>
      </c>
      <c r="D32" s="4">
        <v>6500</v>
      </c>
      <c r="E32" s="5"/>
      <c r="F32" s="69"/>
      <c r="G32" s="70"/>
      <c r="H32" s="37">
        <f t="shared" si="0"/>
        <v>0</v>
      </c>
      <c r="I32" s="12">
        <v>2</v>
      </c>
      <c r="J32" s="13">
        <v>6571</v>
      </c>
      <c r="K32" s="32">
        <f>G56</f>
        <v>85.05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3665.5500000000006</v>
      </c>
      <c r="C33" s="72">
        <f>B33-F33-G33-H33</f>
        <v>0</v>
      </c>
      <c r="D33" s="71"/>
      <c r="E33" s="71"/>
      <c r="F33" s="71">
        <f>F7+F8+F10+F11-F12-F13-F14-F15-F16-F30-F21-F27-F26-F29-F18-F22-F19-F24-F23-F25+F31+F32</f>
        <v>112.85</v>
      </c>
      <c r="G33" s="71">
        <f>G7+G8+G10+G11-G12-G13-G14-G15-G16-G30-G21-G27-G26-G29-G18-G22-G19-G24-G23-G25+G31+G32</f>
        <v>2188.16</v>
      </c>
      <c r="H33" s="71">
        <f>H7+H8+H10+H11-H12-H13-H14-H15-H16-H30-H21-H27-H26-H29-H18-H22-H19-H24-H23-H25+H31+H32-H20-H28</f>
        <v>1364.5400000000002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0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265.10000000000002</v>
      </c>
      <c r="C38" s="27">
        <f>B38-F38-G38-H38</f>
        <v>0</v>
      </c>
      <c r="D38" s="28">
        <v>2100</v>
      </c>
      <c r="E38" s="29"/>
      <c r="F38" s="81">
        <v>0</v>
      </c>
      <c r="G38" s="80">
        <v>0</v>
      </c>
      <c r="H38" s="31">
        <f>B38-G38-F38</f>
        <v>265.10000000000002</v>
      </c>
      <c r="I38" s="12">
        <v>2</v>
      </c>
      <c r="J38" s="13">
        <v>6300</v>
      </c>
      <c r="K38" s="84">
        <f>ROUND(G72,2)</f>
        <v>16.920000000000002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62.04</v>
      </c>
      <c r="C39" s="27">
        <f>B39-F39-G39-H39</f>
        <v>0</v>
      </c>
      <c r="D39" s="4">
        <v>2100</v>
      </c>
      <c r="E39" s="5"/>
      <c r="F39" s="6">
        <v>0</v>
      </c>
      <c r="G39" s="83">
        <v>0</v>
      </c>
      <c r="H39" s="37">
        <f>B39-G39-F39</f>
        <v>62.04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11.06</v>
      </c>
      <c r="C40" s="27">
        <f>B40-F40-G40-H40</f>
        <v>0</v>
      </c>
      <c r="D40" s="4">
        <v>2110</v>
      </c>
      <c r="E40" s="5"/>
      <c r="F40" s="6">
        <v>0</v>
      </c>
      <c r="G40" s="83">
        <v>0</v>
      </c>
      <c r="H40" s="37">
        <f>B40-G40-F40</f>
        <v>11.06</v>
      </c>
      <c r="I40" s="85"/>
      <c r="J40" s="5"/>
      <c r="K40" s="86">
        <f>SUM(K26:K39)</f>
        <v>2647.7801878924661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16.260000000000002</v>
      </c>
      <c r="C41" s="27">
        <f>B41-F41-G41-H41</f>
        <v>0</v>
      </c>
      <c r="D41" s="4">
        <v>2120</v>
      </c>
      <c r="E41" s="5"/>
      <c r="F41" s="6">
        <v>0</v>
      </c>
      <c r="G41" s="83">
        <v>0</v>
      </c>
      <c r="H41" s="37">
        <f>B41-G41-F41</f>
        <v>16.260000000000002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265.08</v>
      </c>
      <c r="C43" s="27">
        <f>B43-F43-G43-H43</f>
        <v>0</v>
      </c>
      <c r="D43" s="4">
        <v>6580</v>
      </c>
      <c r="E43" s="5"/>
      <c r="F43" s="152">
        <v>6.2</v>
      </c>
      <c r="G43" s="152">
        <v>141.96</v>
      </c>
      <c r="H43" s="37">
        <f>B43-F43-G43</f>
        <v>116.91999999999999</v>
      </c>
      <c r="I43" s="12">
        <v>3</v>
      </c>
      <c r="J43" s="13">
        <v>6510</v>
      </c>
      <c r="K43" s="92">
        <f>+F7</f>
        <v>120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61.98</v>
      </c>
      <c r="C44" s="27">
        <f>B44-F44-G44-H44</f>
        <v>0</v>
      </c>
      <c r="D44" s="4">
        <v>6580</v>
      </c>
      <c r="E44" s="5"/>
      <c r="F44" s="152">
        <v>1.45</v>
      </c>
      <c r="G44" s="152">
        <v>33.19</v>
      </c>
      <c r="H44" s="37">
        <f>B44-F44-G44</f>
        <v>27.339999999999996</v>
      </c>
      <c r="I44" s="12">
        <v>3</v>
      </c>
      <c r="J44" s="13">
        <v>6505</v>
      </c>
      <c r="K44" s="92">
        <f>+F8</f>
        <v>0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/>
      <c r="C45" s="27">
        <f>B45-F45-G45-H45</f>
        <v>0</v>
      </c>
      <c r="D45" s="4">
        <v>6580</v>
      </c>
      <c r="E45" s="5"/>
      <c r="F45" s="90"/>
      <c r="G45" s="91"/>
      <c r="H45" s="37">
        <f>B45-G45-F45</f>
        <v>0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/>
      <c r="C46" s="27">
        <f>B46-F46-G46-H46</f>
        <v>0</v>
      </c>
      <c r="D46" s="4">
        <v>6580</v>
      </c>
      <c r="E46" s="5"/>
      <c r="F46" s="93"/>
      <c r="G46" s="94"/>
      <c r="H46" s="37">
        <f>B46-G46-F46</f>
        <v>0</v>
      </c>
      <c r="I46" s="12">
        <v>3</v>
      </c>
      <c r="J46" s="13">
        <v>6580</v>
      </c>
      <c r="K46" s="92">
        <f>-F16+F43+F44+F45+F46+F47</f>
        <v>7.5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/>
      <c r="C47" s="27">
        <f>B47-F47-G47-H47</f>
        <v>0</v>
      </c>
      <c r="D47" s="4"/>
      <c r="E47" s="5"/>
      <c r="F47" s="95"/>
      <c r="G47" s="96"/>
      <c r="H47" s="37">
        <f>B47-G47-F47</f>
        <v>0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327.06</v>
      </c>
      <c r="C48" s="27">
        <f>B49-F48-G48-H48</f>
        <v>0</v>
      </c>
      <c r="D48" s="7"/>
      <c r="E48" s="1"/>
      <c r="F48" s="97">
        <f>SUM(F38:F47)</f>
        <v>7.65</v>
      </c>
      <c r="G48" s="97">
        <f>SUM(G38:G47)</f>
        <v>175.15</v>
      </c>
      <c r="H48" s="71">
        <f>SUM(H38:H47)</f>
        <v>498.71999999999997</v>
      </c>
      <c r="I48" s="12">
        <v>3</v>
      </c>
      <c r="J48" s="13">
        <v>6300</v>
      </c>
      <c r="K48" s="92">
        <f>ROUND(F72,2)</f>
        <v>0.86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5" s="33" customFormat="1" ht="19.5" thickTop="1" thickBot="1" x14ac:dyDescent="0.3">
      <c r="A49" s="34" t="s">
        <v>60</v>
      </c>
      <c r="B49" s="98">
        <f>SUM(B38:B47)</f>
        <v>681.52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5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0</v>
      </c>
      <c r="L50" s="1"/>
      <c r="M50" s="1" t="s">
        <v>34</v>
      </c>
      <c r="N50" s="1"/>
      <c r="O50" s="1"/>
      <c r="P50" s="1"/>
    </row>
    <row r="51" spans="1:25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5" x14ac:dyDescent="0.25">
      <c r="A52" s="25" t="s">
        <v>78</v>
      </c>
      <c r="B52" s="80">
        <f>B24</f>
        <v>252.39</v>
      </c>
      <c r="C52" s="106"/>
      <c r="D52" s="28">
        <v>6570</v>
      </c>
      <c r="E52" s="29"/>
      <c r="F52" s="81">
        <f>F24</f>
        <v>7</v>
      </c>
      <c r="G52" s="107">
        <f>G24</f>
        <v>158.71</v>
      </c>
      <c r="H52" s="31">
        <f>B52-G52-F52</f>
        <v>86.679999999999978</v>
      </c>
      <c r="I52" s="12">
        <v>3</v>
      </c>
      <c r="J52" s="13">
        <v>6570</v>
      </c>
      <c r="K52" s="92">
        <f>F59</f>
        <v>1.2149163324251318</v>
      </c>
      <c r="M52" s="5" t="s">
        <v>25</v>
      </c>
      <c r="O52" s="1"/>
      <c r="P52" s="1"/>
    </row>
    <row r="53" spans="1:25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4</v>
      </c>
      <c r="M53" s="5" t="s">
        <v>27</v>
      </c>
      <c r="O53" s="1"/>
      <c r="P53" s="1"/>
    </row>
    <row r="54" spans="1:25" x14ac:dyDescent="0.25">
      <c r="A54" s="34" t="s">
        <v>60</v>
      </c>
      <c r="B54" s="108">
        <f>SUM(B52:B53)</f>
        <v>252.39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5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5" ht="18.75" thickBot="1" x14ac:dyDescent="0.3">
      <c r="A56" s="34" t="s">
        <v>80</v>
      </c>
      <c r="B56" s="110">
        <v>162.02000000000001</v>
      </c>
      <c r="C56" s="111"/>
      <c r="D56" s="4">
        <v>6571</v>
      </c>
      <c r="F56" s="152">
        <v>4</v>
      </c>
      <c r="G56" s="44">
        <v>85.05</v>
      </c>
      <c r="H56" s="37">
        <f>B56-F56-G56</f>
        <v>72.970000000000013</v>
      </c>
      <c r="I56" s="12"/>
      <c r="J56" s="13"/>
      <c r="K56" s="86">
        <f>SUM(K43:K55)</f>
        <v>133.57491633242515</v>
      </c>
      <c r="L56" s="1"/>
      <c r="N56" s="1">
        <v>2040</v>
      </c>
      <c r="O56" s="1"/>
      <c r="P56" s="1"/>
      <c r="Q56" s="33">
        <f>+O58+K58</f>
        <v>0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5" ht="18.75" thickTop="1" x14ac:dyDescent="0.25">
      <c r="A57" s="34" t="s">
        <v>61</v>
      </c>
      <c r="B57" s="112">
        <v>29.38</v>
      </c>
      <c r="C57" s="111"/>
      <c r="D57" s="4">
        <v>6571</v>
      </c>
      <c r="F57" s="93"/>
      <c r="G57" s="157"/>
      <c r="H57" s="37">
        <f>B57-F57-G57</f>
        <v>29.38</v>
      </c>
      <c r="I57" s="12"/>
      <c r="J57" s="13"/>
      <c r="K57" s="32"/>
      <c r="M57" s="1" t="s">
        <v>83</v>
      </c>
      <c r="O57" s="1"/>
      <c r="P57" s="1"/>
    </row>
    <row r="58" spans="1:25" ht="18.75" thickBot="1" x14ac:dyDescent="0.3">
      <c r="A58" s="34" t="s">
        <v>82</v>
      </c>
      <c r="B58" s="83">
        <f>+B20</f>
        <v>0</v>
      </c>
      <c r="C58" s="111"/>
      <c r="F58" s="6"/>
      <c r="G58" s="88"/>
      <c r="H58" s="37">
        <f>B58-F58-G58</f>
        <v>0</v>
      </c>
      <c r="I58" s="52">
        <v>1</v>
      </c>
      <c r="J58" s="10">
        <v>1012</v>
      </c>
      <c r="K58" s="113">
        <f>-(K23+K40+K56+K76+K83+K88)-K59-K60</f>
        <v>-4835.5500000000011</v>
      </c>
      <c r="M58" s="1"/>
      <c r="O58" s="114">
        <f>+'[11]1012-CNB Checking'!$F$55</f>
        <v>4835.55</v>
      </c>
      <c r="P58" s="114"/>
      <c r="Y58" s="32">
        <f>+K58+O58</f>
        <v>0</v>
      </c>
    </row>
    <row r="59" spans="1:25" ht="18.75" thickTop="1" x14ac:dyDescent="0.25">
      <c r="A59" s="34" t="s">
        <v>25</v>
      </c>
      <c r="B59" s="110">
        <v>43.29</v>
      </c>
      <c r="C59" s="111"/>
      <c r="D59" s="4">
        <v>6570</v>
      </c>
      <c r="F59" s="160">
        <f>+B59*F65</f>
        <v>1.2149163324251318</v>
      </c>
      <c r="G59" s="88">
        <f>+B59*G70</f>
        <v>23.790187892465823</v>
      </c>
      <c r="H59" s="37">
        <f>+B59*H65</f>
        <v>18.284895775109039</v>
      </c>
      <c r="I59" s="85">
        <v>1</v>
      </c>
      <c r="K59" s="21"/>
      <c r="O59" s="21"/>
      <c r="P59" s="1"/>
    </row>
    <row r="60" spans="1:25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85">
        <v>1</v>
      </c>
      <c r="K60" s="21"/>
      <c r="O60" s="21"/>
      <c r="P60" s="1"/>
    </row>
    <row r="61" spans="1:25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>B61-F61-G61</f>
        <v>0</v>
      </c>
      <c r="I61" s="85"/>
      <c r="K61" s="21"/>
      <c r="O61" s="21"/>
      <c r="P61" s="1"/>
    </row>
    <row r="62" spans="1:25" ht="18.75" thickBot="1" x14ac:dyDescent="0.3">
      <c r="A62" s="34" t="s">
        <v>60</v>
      </c>
      <c r="B62" s="116">
        <f>B54+B60+B61+B56+B59+B58</f>
        <v>457.7</v>
      </c>
      <c r="C62" s="117"/>
      <c r="D62" s="7"/>
      <c r="E62" s="1"/>
      <c r="F62" s="71">
        <f>F52+F56</f>
        <v>11</v>
      </c>
      <c r="G62" s="71">
        <f>G52+G56</f>
        <v>243.76</v>
      </c>
      <c r="H62" s="118">
        <f>B62-G62</f>
        <v>213.94</v>
      </c>
      <c r="I62" s="115" t="s">
        <v>85</v>
      </c>
      <c r="K62" s="32"/>
      <c r="O62" s="1"/>
      <c r="P62" s="1"/>
    </row>
    <row r="63" spans="1:25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5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f>+(F7+F8)/($B$7+$B$8)</f>
        <v>2.8064595343615887E-2</v>
      </c>
      <c r="G65" s="123">
        <f>+(G7+G8)/($B$7+$B$8)</f>
        <v>0.54955388986985043</v>
      </c>
      <c r="H65" s="123">
        <f>+(H7+H8)/($B$7+$B$8)</f>
        <v>0.42238151478653363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2.8064595343615887E-2</v>
      </c>
      <c r="G70" s="123">
        <f>G65</f>
        <v>0.54955388986985043</v>
      </c>
      <c r="H70" s="123">
        <f>H65</f>
        <v>0.42238151478653363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>
        <f>28.93+1.85</f>
        <v>30.78</v>
      </c>
      <c r="C71" s="106"/>
      <c r="D71" s="28">
        <v>6300</v>
      </c>
      <c r="E71" s="29"/>
      <c r="F71" s="81">
        <f>B71*F70</f>
        <v>0.86382824467649699</v>
      </c>
      <c r="G71" s="107">
        <f>B71*G70</f>
        <v>16.915268730193997</v>
      </c>
      <c r="H71" s="31">
        <f>B71*H70-0</f>
        <v>13.000903025129505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30.78</v>
      </c>
      <c r="C72" s="117"/>
      <c r="D72" s="7"/>
      <c r="E72" s="1"/>
      <c r="F72" s="71">
        <f>F71</f>
        <v>0.86382824467649699</v>
      </c>
      <c r="G72" s="71">
        <f>G71</f>
        <v>16.915268730193997</v>
      </c>
      <c r="H72" s="118">
        <f>H71</f>
        <v>13.000903025129505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4835.55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3636.17</v>
      </c>
      <c r="C77" s="130"/>
      <c r="D77" s="131" t="s">
        <v>100</v>
      </c>
      <c r="E77" s="6"/>
      <c r="F77" s="6"/>
      <c r="G77" s="132"/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3636.17</v>
      </c>
      <c r="C80" s="130"/>
      <c r="D80" s="131"/>
      <c r="E80" s="6"/>
      <c r="F80" s="6"/>
      <c r="G80" s="129">
        <f>SUM(G77:G79)</f>
        <v>0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4804.7700000000004</v>
      </c>
      <c r="C81" s="3"/>
      <c r="D81" s="4"/>
      <c r="E81" s="5"/>
      <c r="F81" s="5"/>
      <c r="G81" s="5"/>
      <c r="H81" s="128" t="str">
        <f>IF(B80-G80=0,"ok","NO")</f>
        <v>NO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30.78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4835.55</v>
      </c>
      <c r="C83" s="128" t="str">
        <f>IF(B75=B83,"ok","NO")</f>
        <v>ok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0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E6DFF-B398-423C-A6E4-295952EAEC09}">
  <sheetPr>
    <tabColor rgb="FF00B050"/>
    <pageSetUpPr fitToPage="1"/>
  </sheetPr>
  <dimension ref="A2:Z99"/>
  <sheetViews>
    <sheetView zoomScale="70" zoomScaleNormal="70" zoomScalePageLayoutView="70" workbookViewId="0">
      <selection activeCell="A10" sqref="A10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5.37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43755</v>
      </c>
      <c r="K2" s="9"/>
      <c r="M2" s="5" t="s">
        <v>1</v>
      </c>
    </row>
    <row r="3" spans="1:19" x14ac:dyDescent="0.25">
      <c r="A3" s="10" t="s">
        <v>2</v>
      </c>
      <c r="B3" s="8">
        <v>43750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1.1000000000000001</v>
      </c>
    </row>
    <row r="7" spans="1:19" x14ac:dyDescent="0.25">
      <c r="A7" s="25" t="s">
        <v>14</v>
      </c>
      <c r="B7" s="26">
        <v>46261.99</v>
      </c>
      <c r="C7" s="27">
        <f>B7-F7-G7-H7</f>
        <v>0</v>
      </c>
      <c r="D7" s="28">
        <v>6500</v>
      </c>
      <c r="E7" s="29"/>
      <c r="F7" s="30">
        <v>3551.02</v>
      </c>
      <c r="G7" s="30">
        <v>16466.34</v>
      </c>
      <c r="H7" s="31">
        <f t="shared" ref="H7:H31" si="0">B7-F7-G7</f>
        <v>26244.63</v>
      </c>
      <c r="I7" s="12">
        <v>1</v>
      </c>
      <c r="J7" s="13">
        <v>6500</v>
      </c>
      <c r="K7" s="32">
        <f>H7+H31</f>
        <v>26244.63</v>
      </c>
      <c r="M7" s="5" t="s">
        <v>15</v>
      </c>
      <c r="P7" s="5">
        <v>1</v>
      </c>
      <c r="Q7" s="13">
        <v>6500</v>
      </c>
      <c r="R7" s="33">
        <f>+K7*$R$6</f>
        <v>28869.093000000004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1921.91</v>
      </c>
      <c r="C10" s="27"/>
      <c r="D10" s="4">
        <v>6040</v>
      </c>
      <c r="F10" s="35"/>
      <c r="G10" s="35">
        <v>1557.65</v>
      </c>
      <c r="H10" s="37">
        <f t="shared" si="0"/>
        <v>364.26</v>
      </c>
      <c r="I10" s="12">
        <v>1</v>
      </c>
      <c r="J10" s="13">
        <v>6580</v>
      </c>
      <c r="K10" s="32">
        <f>ROUND($H$42+$H$43+$H$44+$H$45-$H$15+$H$46,2)</f>
        <v>2349.59</v>
      </c>
      <c r="M10" s="39" t="s">
        <v>21</v>
      </c>
      <c r="P10" s="5">
        <v>1</v>
      </c>
      <c r="Q10" s="13">
        <v>6580</v>
      </c>
      <c r="R10" s="33">
        <f>+K10*$R$6</f>
        <v>2584.5490000000004</v>
      </c>
      <c r="S10" s="32"/>
    </row>
    <row r="11" spans="1:19" x14ac:dyDescent="0.25">
      <c r="A11" s="34" t="s">
        <v>22</v>
      </c>
      <c r="B11" s="40">
        <v>2757.34</v>
      </c>
      <c r="C11" s="27">
        <f t="shared" ref="C11:C30" si="1">B11-F11-G11-H11</f>
        <v>0</v>
      </c>
      <c r="D11" s="4">
        <v>2100</v>
      </c>
      <c r="F11" s="41"/>
      <c r="G11" s="41"/>
      <c r="H11" s="37">
        <f t="shared" si="0"/>
        <v>2757.34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644.82000000000005</v>
      </c>
      <c r="C12" s="27">
        <f t="shared" si="1"/>
        <v>0</v>
      </c>
      <c r="D12" s="4">
        <v>2100</v>
      </c>
      <c r="F12" s="41"/>
      <c r="G12" s="41"/>
      <c r="H12" s="37">
        <f t="shared" si="0"/>
        <v>644.82000000000005</v>
      </c>
      <c r="I12" s="12">
        <v>1</v>
      </c>
      <c r="J12" s="13">
        <v>6570</v>
      </c>
      <c r="K12" s="32">
        <f>-H23+H51+H58</f>
        <v>384.17999999999989</v>
      </c>
      <c r="M12" s="5" t="s">
        <v>25</v>
      </c>
      <c r="P12" s="5">
        <v>1</v>
      </c>
      <c r="Q12" s="13">
        <v>6570</v>
      </c>
      <c r="R12" s="33">
        <f>+K12*R6</f>
        <v>422.5979999999999</v>
      </c>
      <c r="S12" s="32"/>
    </row>
    <row r="13" spans="1:19" x14ac:dyDescent="0.25">
      <c r="A13" s="34" t="s">
        <v>26</v>
      </c>
      <c r="B13" s="42">
        <v>3572.66</v>
      </c>
      <c r="C13" s="27">
        <f t="shared" si="1"/>
        <v>0</v>
      </c>
      <c r="D13" s="4">
        <v>2110</v>
      </c>
      <c r="F13" s="41"/>
      <c r="G13" s="41"/>
      <c r="H13" s="37">
        <f t="shared" si="0"/>
        <v>3572.66</v>
      </c>
      <c r="I13" s="12">
        <v>1</v>
      </c>
      <c r="J13" s="13">
        <v>6571</v>
      </c>
      <c r="K13" s="32">
        <f>ROUND(H55,2)</f>
        <v>644.54</v>
      </c>
      <c r="M13" s="43" t="s">
        <v>27</v>
      </c>
      <c r="P13" s="5">
        <v>1</v>
      </c>
      <c r="Q13" s="13">
        <v>6571</v>
      </c>
      <c r="R13" s="33">
        <f>+K13*$R$6</f>
        <v>708.99400000000003</v>
      </c>
      <c r="S13" s="32"/>
    </row>
    <row r="14" spans="1:19" x14ac:dyDescent="0.25">
      <c r="A14" s="34" t="s">
        <v>28</v>
      </c>
      <c r="B14" s="42">
        <v>1916.54</v>
      </c>
      <c r="C14" s="27">
        <f t="shared" si="1"/>
        <v>0</v>
      </c>
      <c r="D14" s="4">
        <v>2120</v>
      </c>
      <c r="F14" s="41"/>
      <c r="G14" s="41"/>
      <c r="H14" s="37">
        <f t="shared" si="0"/>
        <v>1916.54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26.4</v>
      </c>
      <c r="C15" s="27">
        <f t="shared" si="1"/>
        <v>0</v>
      </c>
      <c r="D15" s="4">
        <v>6580</v>
      </c>
      <c r="F15" s="44">
        <v>3.77</v>
      </c>
      <c r="G15" s="44">
        <v>7.2</v>
      </c>
      <c r="H15" s="37">
        <f t="shared" si="0"/>
        <v>15.43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>
        <f>SUM(R61:R66)</f>
        <v>364.26</v>
      </c>
    </row>
    <row r="16" spans="1:19" ht="18.75" thickBot="1" x14ac:dyDescent="0.3">
      <c r="A16" s="34" t="s">
        <v>33</v>
      </c>
      <c r="B16" s="51">
        <v>50.89</v>
      </c>
      <c r="C16" s="27">
        <f t="shared" si="1"/>
        <v>0</v>
      </c>
      <c r="D16" s="7">
        <v>2120</v>
      </c>
      <c r="F16" s="44">
        <v>2.4</v>
      </c>
      <c r="G16" s="44">
        <v>15.2</v>
      </c>
      <c r="H16" s="37">
        <f t="shared" si="0"/>
        <v>33.290000000000006</v>
      </c>
      <c r="I16" s="52">
        <v>1</v>
      </c>
      <c r="J16" s="10">
        <v>2120</v>
      </c>
      <c r="K16" s="21">
        <f>-H16</f>
        <v>-33.290000000000006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-36.619000000000007</v>
      </c>
      <c r="S16" s="32"/>
    </row>
    <row r="17" spans="1:26" x14ac:dyDescent="0.25">
      <c r="A17" s="34" t="s">
        <v>35</v>
      </c>
      <c r="B17" s="40">
        <v>14.64</v>
      </c>
      <c r="C17" s="27">
        <f t="shared" si="1"/>
        <v>0</v>
      </c>
      <c r="D17" s="54">
        <v>1830</v>
      </c>
      <c r="F17" s="41"/>
      <c r="G17" s="55"/>
      <c r="H17" s="37">
        <f t="shared" si="0"/>
        <v>14.64</v>
      </c>
      <c r="I17" s="12">
        <v>1</v>
      </c>
      <c r="J17" s="13">
        <v>1830</v>
      </c>
      <c r="K17" s="56">
        <f>ROUND(-H20-H27-H17-H18-H21-H26-H28,2)</f>
        <v>-955.9</v>
      </c>
      <c r="M17" s="5" t="s">
        <v>36</v>
      </c>
      <c r="P17" s="5">
        <v>1</v>
      </c>
      <c r="Q17" s="13">
        <v>1830</v>
      </c>
      <c r="R17" s="33">
        <f>+K17*$R$6</f>
        <v>-1051.49</v>
      </c>
      <c r="S17" s="32"/>
    </row>
    <row r="18" spans="1:26" x14ac:dyDescent="0.25">
      <c r="A18" s="34" t="s">
        <v>37</v>
      </c>
      <c r="B18" s="42">
        <v>87.96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28.079999999999991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42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305.95</v>
      </c>
      <c r="M19" s="5" t="s">
        <v>40</v>
      </c>
      <c r="P19" s="5">
        <v>1</v>
      </c>
      <c r="Q19" s="13">
        <v>6300</v>
      </c>
      <c r="R19" s="33">
        <f>+K19*$R$6</f>
        <v>336.54500000000002</v>
      </c>
      <c r="S19" s="32"/>
    </row>
    <row r="20" spans="1:26" x14ac:dyDescent="0.25">
      <c r="A20" s="34" t="s">
        <v>41</v>
      </c>
      <c r="B20" s="42">
        <v>1463.39</v>
      </c>
      <c r="C20" s="27">
        <f t="shared" si="1"/>
        <v>0</v>
      </c>
      <c r="D20" s="4">
        <v>1830</v>
      </c>
      <c r="F20" s="41"/>
      <c r="G20" s="44">
        <v>809.87</v>
      </c>
      <c r="H20" s="37">
        <f t="shared" si="0"/>
        <v>653.5200000000001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42">
        <v>150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24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42"/>
      <c r="C22" s="27">
        <f t="shared" si="1"/>
        <v>0</v>
      </c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42">
        <v>1780.7</v>
      </c>
      <c r="C23" s="27">
        <f t="shared" si="1"/>
        <v>0</v>
      </c>
      <c r="D23" s="4">
        <v>6570</v>
      </c>
      <c r="F23" s="44">
        <v>172.48</v>
      </c>
      <c r="G23" s="44">
        <v>625.41</v>
      </c>
      <c r="H23" s="37">
        <f t="shared" si="0"/>
        <v>982.81000000000006</v>
      </c>
      <c r="I23" s="12"/>
      <c r="J23" s="13"/>
      <c r="K23" s="59">
        <f>SUM(K7:K22)</f>
        <v>28939.7</v>
      </c>
      <c r="N23" s="1">
        <v>2040</v>
      </c>
      <c r="P23" s="5">
        <v>1</v>
      </c>
      <c r="Q23" s="13">
        <v>2040</v>
      </c>
      <c r="R23" s="60">
        <f>SUM(R7:R22)</f>
        <v>32197.929999999997</v>
      </c>
      <c r="S23" s="6"/>
      <c r="V23" s="32"/>
    </row>
    <row r="24" spans="1:26" ht="18.75" thickTop="1" x14ac:dyDescent="0.25">
      <c r="A24" s="34" t="s">
        <v>48</v>
      </c>
      <c r="B24" s="42">
        <v>465.81</v>
      </c>
      <c r="C24" s="27">
        <f t="shared" si="1"/>
        <v>0</v>
      </c>
      <c r="F24" s="41"/>
      <c r="G24" s="44">
        <v>123.58</v>
      </c>
      <c r="H24" s="37">
        <f t="shared" si="0"/>
        <v>342.23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42">
        <v>132.69</v>
      </c>
      <c r="C25" s="27">
        <f t="shared" si="1"/>
        <v>0</v>
      </c>
      <c r="F25" s="44">
        <v>101.92</v>
      </c>
      <c r="G25" s="44"/>
      <c r="H25" s="37">
        <f t="shared" si="0"/>
        <v>30.769999999999996</v>
      </c>
      <c r="I25" s="61">
        <v>2</v>
      </c>
      <c r="J25" s="62"/>
      <c r="K25" s="32"/>
      <c r="Q25" s="62"/>
      <c r="R25" s="33"/>
      <c r="V25" s="32"/>
    </row>
    <row r="26" spans="1:26" x14ac:dyDescent="0.25">
      <c r="A26" s="34" t="s">
        <v>50</v>
      </c>
      <c r="B26" s="42">
        <v>63.17</v>
      </c>
      <c r="C26" s="27">
        <f t="shared" si="1"/>
        <v>0</v>
      </c>
      <c r="D26" s="54">
        <v>1830</v>
      </c>
      <c r="F26" s="41"/>
      <c r="G26" s="55"/>
      <c r="H26" s="37">
        <f t="shared" si="0"/>
        <v>63.17</v>
      </c>
      <c r="I26" s="12">
        <v>2</v>
      </c>
      <c r="J26" s="13">
        <v>6500</v>
      </c>
      <c r="K26" s="32">
        <f>G7+G31</f>
        <v>16466.34</v>
      </c>
      <c r="M26" s="5" t="s">
        <v>51</v>
      </c>
      <c r="O26" s="32"/>
      <c r="P26" s="5">
        <v>2</v>
      </c>
      <c r="Q26" s="13">
        <v>6500</v>
      </c>
      <c r="R26" s="33">
        <f>+K26*R6</f>
        <v>18112.974000000002</v>
      </c>
      <c r="S26" s="32"/>
      <c r="X26" s="32"/>
    </row>
    <row r="27" spans="1:26" x14ac:dyDescent="0.25">
      <c r="A27" s="34" t="s">
        <v>52</v>
      </c>
      <c r="B27" s="42">
        <v>114.66</v>
      </c>
      <c r="C27" s="63">
        <f t="shared" si="1"/>
        <v>0</v>
      </c>
      <c r="F27" s="41"/>
      <c r="G27" s="55"/>
      <c r="H27" s="37">
        <f t="shared" si="0"/>
        <v>114.66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51">
        <v>86.95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57.83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168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937.31</v>
      </c>
      <c r="M29" s="39" t="s">
        <v>21</v>
      </c>
      <c r="P29" s="5">
        <v>2</v>
      </c>
      <c r="Q29" s="13">
        <v>6580</v>
      </c>
      <c r="R29" s="33">
        <f>+K29*R6</f>
        <v>1031.0409999999999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192.09</v>
      </c>
      <c r="M31" s="5" t="s">
        <v>25</v>
      </c>
      <c r="P31" s="5">
        <v>2</v>
      </c>
      <c r="Q31" s="13">
        <v>6570</v>
      </c>
      <c r="R31" s="33">
        <f>+K31*$R$6</f>
        <v>211.29900000000004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B7+B8+B10-B11-B12-B13-B14-B15-B16-B19-B29-B20-B26-B25-B28-B17-B21-B18-B23-B22-B24+B30+B31-B27+B9</f>
        <v>34855.280000000006</v>
      </c>
      <c r="C32" s="72">
        <f>B32-F32-G32-H32</f>
        <v>-114.65999999999258</v>
      </c>
      <c r="D32" s="71"/>
      <c r="E32" s="71"/>
      <c r="F32" s="71">
        <f t="shared" ref="F32:G32" si="2">F7+F8+F10-F11-F12-F13-F14-F15-F16-F19-F29-F20-F26-F25-F28-F17-F21-F18-F23-F22-F24+F30+F31-F27+F9</f>
        <v>3259.7</v>
      </c>
      <c r="G32" s="71">
        <f t="shared" si="2"/>
        <v>16238.480000000001</v>
      </c>
      <c r="H32" s="71">
        <f>H7+H8+H10-H11-H12-H13-H14-H15-H16-H19-H29-H20-H26-H25-H28-H17-H21-H18-H23-H22-H24+H30+H31</f>
        <v>15471.759999999997</v>
      </c>
      <c r="I32" s="12">
        <v>2</v>
      </c>
      <c r="J32" s="13">
        <v>6571</v>
      </c>
      <c r="K32" s="32">
        <f>G55</f>
        <v>372.07</v>
      </c>
      <c r="M32" s="43" t="s">
        <v>27</v>
      </c>
      <c r="P32" s="5">
        <v>2</v>
      </c>
      <c r="Q32" s="13">
        <v>6571</v>
      </c>
      <c r="R32" s="33">
        <f>+K32*$R$6</f>
        <v>409.27700000000004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>
        <f>SUM(R75:R81)</f>
        <v>1557.65</v>
      </c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-15.2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-16.72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-1014.12</v>
      </c>
      <c r="M36" s="5" t="s">
        <v>36</v>
      </c>
      <c r="O36" s="1"/>
      <c r="P36" s="5">
        <v>2</v>
      </c>
      <c r="Q36" s="13">
        <v>1830</v>
      </c>
      <c r="R36" s="33">
        <f>+K36*$R$6</f>
        <v>-1115.5320000000002</v>
      </c>
      <c r="S36" s="32"/>
    </row>
    <row r="37" spans="1:22" x14ac:dyDescent="0.25">
      <c r="A37" s="25" t="s">
        <v>66</v>
      </c>
      <c r="B37" s="80">
        <f>B11</f>
        <v>2757.34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2757.34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644.82000000000005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644.82000000000005</v>
      </c>
      <c r="I38" s="12">
        <v>2</v>
      </c>
      <c r="J38" s="13">
        <v>6300</v>
      </c>
      <c r="K38" s="84">
        <f>ROUND(G70,2)</f>
        <v>152.97</v>
      </c>
      <c r="M38" s="5" t="s">
        <v>40</v>
      </c>
      <c r="O38" s="1"/>
      <c r="P38" s="5">
        <v>2</v>
      </c>
      <c r="Q38" s="13">
        <v>6300</v>
      </c>
      <c r="R38" s="33">
        <f>+K38*$R$6</f>
        <v>168.26700000000002</v>
      </c>
      <c r="S38" s="32"/>
    </row>
    <row r="39" spans="1:22" x14ac:dyDescent="0.25">
      <c r="A39" s="34" t="s">
        <v>68</v>
      </c>
      <c r="B39" s="83">
        <f>B13</f>
        <v>3572.66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3572.66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1916.54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1916.54</v>
      </c>
      <c r="I40" s="85"/>
      <c r="J40" s="5">
        <v>2040</v>
      </c>
      <c r="K40" s="86">
        <f>SUM(K26:K39)</f>
        <v>17091.460000000003</v>
      </c>
      <c r="N40" s="1">
        <v>2040</v>
      </c>
      <c r="O40" s="1"/>
      <c r="P40" s="5">
        <v>2</v>
      </c>
      <c r="Q40" s="5">
        <v>2040</v>
      </c>
      <c r="R40" s="86">
        <f>SUM(R26:R39)</f>
        <v>20358.256000000001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2757.37</v>
      </c>
      <c r="C42" s="27">
        <f>B42-F42-G42-H42</f>
        <v>0</v>
      </c>
      <c r="D42" s="4">
        <v>6580</v>
      </c>
      <c r="F42" s="90">
        <v>146.44999999999999</v>
      </c>
      <c r="G42" s="90">
        <v>765.48</v>
      </c>
      <c r="H42" s="37">
        <f>B42-F42-G42</f>
        <v>1845.44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644.88</v>
      </c>
      <c r="C43" s="27">
        <f>B43-F43-G43-H43</f>
        <v>0</v>
      </c>
      <c r="D43" s="4">
        <v>6580</v>
      </c>
      <c r="F43" s="90">
        <v>34.25</v>
      </c>
      <c r="G43" s="90">
        <v>179.03</v>
      </c>
      <c r="H43" s="37">
        <f>B43-F43-G43</f>
        <v>431.6</v>
      </c>
      <c r="I43" s="12">
        <v>3</v>
      </c>
      <c r="J43" s="13">
        <v>6500</v>
      </c>
      <c r="K43" s="92">
        <f>F7+F31</f>
        <v>3551.02</v>
      </c>
      <c r="M43" s="5" t="s">
        <v>71</v>
      </c>
      <c r="O43" s="1"/>
      <c r="P43" s="5">
        <v>3</v>
      </c>
      <c r="Q43" s="13">
        <v>6500</v>
      </c>
      <c r="R43" s="33">
        <f>+K43*$R$6</f>
        <v>3906.1220000000003</v>
      </c>
      <c r="S43" s="32"/>
    </row>
    <row r="44" spans="1:22" x14ac:dyDescent="0.25">
      <c r="A44" s="34" t="s">
        <v>72</v>
      </c>
      <c r="B44" s="89">
        <v>11.96</v>
      </c>
      <c r="C44" s="27">
        <f>B44-F44-G44-H44</f>
        <v>0</v>
      </c>
      <c r="D44" s="4">
        <v>6580</v>
      </c>
      <c r="F44" s="90"/>
      <c r="G44" s="91"/>
      <c r="H44" s="37">
        <f>B44-G44-F44</f>
        <v>11.96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72.849999999999994</v>
      </c>
      <c r="C45" s="27">
        <f>B45-F45-G45-H45</f>
        <v>0</v>
      </c>
      <c r="D45" s="4">
        <v>6580</v>
      </c>
      <c r="F45" s="90"/>
      <c r="G45" s="94"/>
      <c r="H45" s="37">
        <f>B45-G45-F45</f>
        <v>72.849999999999994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3.17</v>
      </c>
      <c r="C46" s="27">
        <f>B46-F46-G46-H46</f>
        <v>0</v>
      </c>
      <c r="F46" s="96"/>
      <c r="G46" s="96"/>
      <c r="H46" s="37">
        <f>B46-G46-F46</f>
        <v>3.17</v>
      </c>
      <c r="I46" s="12">
        <v>3</v>
      </c>
      <c r="J46" s="13">
        <v>6580</v>
      </c>
      <c r="K46" s="32">
        <f>ROUND($F$42+$F$43+$F$44+$F$45-$F$15+$F$46,2)</f>
        <v>176.93</v>
      </c>
      <c r="M46" s="39" t="s">
        <v>21</v>
      </c>
      <c r="O46" s="1"/>
      <c r="P46" s="5">
        <v>3</v>
      </c>
      <c r="Q46" s="13">
        <v>6580</v>
      </c>
      <c r="R46" s="33">
        <f>+K46*$R$6</f>
        <v>194.62300000000002</v>
      </c>
      <c r="S46" s="32"/>
    </row>
    <row r="47" spans="1:22" ht="18.75" thickBot="1" x14ac:dyDescent="0.3">
      <c r="B47" s="97">
        <f>SUM(B42:B46)</f>
        <v>3490.23</v>
      </c>
      <c r="C47" s="27">
        <f>B48-F47-G47-H47</f>
        <v>0</v>
      </c>
      <c r="D47" s="7"/>
      <c r="E47" s="1"/>
      <c r="F47" s="97">
        <f>SUM(F37:F46)</f>
        <v>180.7</v>
      </c>
      <c r="G47" s="97">
        <f>SUM(G37:G46)</f>
        <v>944.51</v>
      </c>
      <c r="H47" s="71">
        <f>SUM(H37:H46)</f>
        <v>11256.380000000001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12381.589999999998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50.99</v>
      </c>
      <c r="M48" s="5" t="s">
        <v>40</v>
      </c>
      <c r="O48" s="1"/>
      <c r="P48" s="5">
        <v>3</v>
      </c>
      <c r="Q48" s="13">
        <v>6300</v>
      </c>
      <c r="R48" s="33">
        <f>+K48*$R$6</f>
        <v>56.089000000000006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-2.4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-2.64</v>
      </c>
      <c r="S50" s="32"/>
    </row>
    <row r="51" spans="1:23" x14ac:dyDescent="0.25">
      <c r="A51" s="25" t="s">
        <v>78</v>
      </c>
      <c r="B51" s="80">
        <f>B23</f>
        <v>1780.7</v>
      </c>
      <c r="C51" s="106"/>
      <c r="D51" s="28">
        <v>6570</v>
      </c>
      <c r="E51" s="29"/>
      <c r="F51" s="81">
        <f>F23</f>
        <v>172.48</v>
      </c>
      <c r="G51" s="107">
        <f>G23</f>
        <v>625.41</v>
      </c>
      <c r="H51" s="31">
        <f>B51-G51-F51</f>
        <v>982.81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64.03</v>
      </c>
      <c r="M52" s="5" t="s">
        <v>25</v>
      </c>
      <c r="O52" s="1"/>
      <c r="P52" s="5">
        <v>3</v>
      </c>
      <c r="Q52" s="13">
        <v>6570</v>
      </c>
      <c r="R52" s="33">
        <f>+K52</f>
        <v>64.03</v>
      </c>
      <c r="S52" s="32"/>
    </row>
    <row r="53" spans="1:23" x14ac:dyDescent="0.25">
      <c r="A53" s="34" t="s">
        <v>60</v>
      </c>
      <c r="B53" s="108">
        <f>SUM(B51:B52)</f>
        <v>1780.7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1115.17</v>
      </c>
      <c r="C55" s="111"/>
      <c r="D55" s="4">
        <v>6571</v>
      </c>
      <c r="F55" s="90">
        <v>98.56</v>
      </c>
      <c r="G55" s="90">
        <v>372.07</v>
      </c>
      <c r="H55" s="37">
        <f>B55-F55-G55</f>
        <v>644.54000000000019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12">
        <v>114.05</v>
      </c>
      <c r="C56" s="111"/>
      <c r="D56" s="4">
        <v>6571</v>
      </c>
      <c r="F56" s="93"/>
      <c r="G56" s="93"/>
      <c r="H56" s="37">
        <f>B56-F56-G56</f>
        <v>114.05</v>
      </c>
      <c r="I56" s="12"/>
      <c r="J56" s="13"/>
      <c r="K56" s="86">
        <f>SUM(K43:K55)</f>
        <v>3928.3799999999997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4316.7839999999997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640.29999999999995</v>
      </c>
      <c r="C58" s="111"/>
      <c r="D58" s="4">
        <v>6570</v>
      </c>
      <c r="F58" s="88">
        <f>ROUND(B58*10%,2)</f>
        <v>64.03</v>
      </c>
      <c r="G58" s="88">
        <f>ROUND(B58*30%,2)</f>
        <v>192.09</v>
      </c>
      <c r="H58" s="37">
        <f>ROUND(B58-F58-G58,2)</f>
        <v>384.18</v>
      </c>
      <c r="I58" s="52">
        <v>1</v>
      </c>
      <c r="J58" s="10">
        <v>1012</v>
      </c>
      <c r="K58" s="113">
        <f>-(K23+K40+K56+K74+K84+K90)-K59</f>
        <v>-51881.450000000004</v>
      </c>
      <c r="M58" s="1"/>
      <c r="N58" s="32">
        <f>+'[11]1012-CNB Checking'!$F$60</f>
        <v>51881.45</v>
      </c>
      <c r="O58" s="114">
        <f>+K58+N58+K59</f>
        <v>-7.2759576141834259E-12</v>
      </c>
      <c r="P58" s="32"/>
      <c r="R58" s="33"/>
    </row>
    <row r="59" spans="1:23" ht="18.75" thickTop="1" x14ac:dyDescent="0.25">
      <c r="A59" s="34" t="s">
        <v>48</v>
      </c>
      <c r="B59" s="83">
        <f>B24</f>
        <v>465.81</v>
      </c>
      <c r="C59" s="27"/>
      <c r="F59" s="88">
        <f>F24</f>
        <v>0</v>
      </c>
      <c r="G59" s="88">
        <f>G24</f>
        <v>123.58</v>
      </c>
      <c r="H59" s="37">
        <f>B59-F59-G59</f>
        <v>342.23</v>
      </c>
      <c r="I59" s="52">
        <v>1</v>
      </c>
      <c r="J59" s="10">
        <v>1012</v>
      </c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132.69</v>
      </c>
      <c r="C60" s="27"/>
      <c r="F60" s="88">
        <f>F25</f>
        <v>101.92</v>
      </c>
      <c r="G60" s="88">
        <f>G25</f>
        <v>0</v>
      </c>
      <c r="H60" s="37">
        <f>B60-F60-G60</f>
        <v>30.769999999999996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4134.67</v>
      </c>
      <c r="C61" s="117"/>
      <c r="D61" s="7"/>
      <c r="E61" s="1"/>
      <c r="F61" s="71">
        <f>F51+F55</f>
        <v>271.03999999999996</v>
      </c>
      <c r="G61" s="71">
        <f>G51+G55</f>
        <v>997.48</v>
      </c>
      <c r="H61" s="118">
        <f>B61-G61</f>
        <v>3137.19</v>
      </c>
      <c r="I61" s="115">
        <v>1</v>
      </c>
      <c r="J61" s="119">
        <v>1831</v>
      </c>
      <c r="K61" s="120">
        <v>170</v>
      </c>
      <c r="M61" s="5" t="s">
        <v>42</v>
      </c>
      <c r="O61" s="121"/>
      <c r="P61" s="115">
        <v>1</v>
      </c>
      <c r="Q61" s="119">
        <v>1831</v>
      </c>
      <c r="R61" s="163">
        <f>+K61</f>
        <v>170</v>
      </c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>
        <f>98+51.26</f>
        <v>149.26</v>
      </c>
      <c r="M62" s="5" t="s">
        <v>132</v>
      </c>
      <c r="O62" s="1"/>
      <c r="P62" s="115">
        <v>1</v>
      </c>
      <c r="Q62" s="5">
        <v>6565</v>
      </c>
      <c r="R62" s="163">
        <f t="shared" ref="R62:R67" si="3">+K62</f>
        <v>149.26</v>
      </c>
      <c r="S62" s="32"/>
    </row>
    <row r="63" spans="1:23" x14ac:dyDescent="0.25">
      <c r="F63" s="6"/>
      <c r="I63" s="85">
        <v>1</v>
      </c>
      <c r="J63" s="5">
        <v>1831</v>
      </c>
      <c r="K63" s="120"/>
      <c r="M63" s="5" t="s">
        <v>87</v>
      </c>
      <c r="O63" s="1"/>
      <c r="P63" s="85">
        <v>1</v>
      </c>
      <c r="Q63" s="5">
        <v>1831</v>
      </c>
      <c r="R63" s="163">
        <f t="shared" si="3"/>
        <v>0</v>
      </c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>
        <v>1</v>
      </c>
      <c r="Q64" s="5">
        <v>6630</v>
      </c>
      <c r="R64" s="163">
        <f t="shared" si="3"/>
        <v>0</v>
      </c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/>
      <c r="M65" s="5" t="s">
        <v>90</v>
      </c>
      <c r="O65" s="1"/>
      <c r="P65" s="85">
        <v>1</v>
      </c>
      <c r="Q65" s="5">
        <v>6630</v>
      </c>
      <c r="R65" s="163">
        <f t="shared" si="3"/>
        <v>0</v>
      </c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1326.24-K79</f>
        <v>45</v>
      </c>
      <c r="M66" s="5" t="s">
        <v>133</v>
      </c>
      <c r="O66" s="1"/>
      <c r="P66" s="85">
        <v>1</v>
      </c>
      <c r="Q66" s="5">
        <v>6551</v>
      </c>
      <c r="R66" s="163">
        <f t="shared" si="3"/>
        <v>45</v>
      </c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>
        <v>1</v>
      </c>
      <c r="Q67" s="5">
        <v>6012</v>
      </c>
      <c r="R67" s="163">
        <f t="shared" si="3"/>
        <v>0</v>
      </c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>
        <f>508.06+1.85</f>
        <v>509.91</v>
      </c>
      <c r="C70" s="106"/>
      <c r="D70" s="28">
        <v>6300</v>
      </c>
      <c r="E70" s="29"/>
      <c r="F70" s="81">
        <f>B70*F69</f>
        <v>50.991000000000007</v>
      </c>
      <c r="G70" s="107">
        <f>B70*G69</f>
        <v>152.97300000000001</v>
      </c>
      <c r="H70" s="31">
        <f>B70*H69-0</f>
        <v>305.94600000000003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50.991000000000007</v>
      </c>
      <c r="G71" s="71">
        <f>G70</f>
        <v>152.97300000000001</v>
      </c>
      <c r="H71" s="118">
        <f>H70</f>
        <v>305.94600000000003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51371.54</v>
      </c>
      <c r="F74" s="6"/>
      <c r="I74" s="85" t="s">
        <v>97</v>
      </c>
      <c r="K74" s="129">
        <f>SUM(K61:K73)</f>
        <v>364.26</v>
      </c>
      <c r="O74" s="1"/>
      <c r="R74" s="162"/>
    </row>
    <row r="75" spans="1:20" ht="18.75" thickBot="1" x14ac:dyDescent="0.3">
      <c r="F75" s="6"/>
      <c r="I75" s="85">
        <v>2</v>
      </c>
      <c r="J75" s="167">
        <v>6565</v>
      </c>
      <c r="K75" s="120">
        <v>264.87</v>
      </c>
      <c r="M75" s="5" t="s">
        <v>132</v>
      </c>
      <c r="O75" s="1"/>
      <c r="P75" s="85">
        <v>2</v>
      </c>
      <c r="Q75" s="119" t="s">
        <v>107</v>
      </c>
      <c r="R75" s="163">
        <f t="shared" ref="R75:R81" si="4">+K75</f>
        <v>264.87</v>
      </c>
      <c r="S75" s="32"/>
    </row>
    <row r="76" spans="1:20" x14ac:dyDescent="0.25">
      <c r="A76" s="129" t="s">
        <v>99</v>
      </c>
      <c r="B76" s="26">
        <v>34741.230000000003</v>
      </c>
      <c r="C76" s="130"/>
      <c r="D76" s="131" t="s">
        <v>100</v>
      </c>
      <c r="E76" s="6"/>
      <c r="F76" s="6"/>
      <c r="G76" s="132">
        <v>34741.230000000003</v>
      </c>
      <c r="H76" s="6"/>
      <c r="I76" s="85">
        <v>2</v>
      </c>
      <c r="J76" s="119">
        <v>1831</v>
      </c>
      <c r="K76" s="120"/>
      <c r="M76" s="5" t="s">
        <v>42</v>
      </c>
      <c r="O76" s="1"/>
      <c r="P76" s="85">
        <v>2</v>
      </c>
      <c r="Q76" s="119">
        <v>1831</v>
      </c>
      <c r="R76" s="163">
        <f t="shared" si="4"/>
        <v>0</v>
      </c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>
        <v>2</v>
      </c>
      <c r="Q77" s="5">
        <v>6630</v>
      </c>
      <c r="R77" s="163">
        <f t="shared" si="4"/>
        <v>0</v>
      </c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85">
        <v>2</v>
      </c>
      <c r="Q78" s="5">
        <v>6630</v>
      </c>
      <c r="R78" s="163">
        <f t="shared" si="4"/>
        <v>11.54</v>
      </c>
      <c r="S78" s="32"/>
    </row>
    <row r="79" spans="1:20" ht="18.75" thickBot="1" x14ac:dyDescent="0.3">
      <c r="A79" s="134" t="s">
        <v>104</v>
      </c>
      <c r="B79" s="135">
        <f>ROUND(SUM(B76:B78),2)</f>
        <v>34741.230000000003</v>
      </c>
      <c r="C79" s="130"/>
      <c r="D79" s="131"/>
      <c r="E79" s="6"/>
      <c r="F79" s="6"/>
      <c r="G79" s="129">
        <f>SUM(G76:G78)</f>
        <v>34741.230000000003</v>
      </c>
      <c r="H79" s="6" t="s">
        <v>105</v>
      </c>
      <c r="I79" s="85">
        <v>2</v>
      </c>
      <c r="J79" s="5">
        <v>6551</v>
      </c>
      <c r="K79" s="120">
        <v>1281.24</v>
      </c>
      <c r="M79" s="5" t="s">
        <v>91</v>
      </c>
      <c r="O79" s="1"/>
      <c r="P79" s="85">
        <v>2</v>
      </c>
      <c r="Q79" s="5">
        <v>6551</v>
      </c>
      <c r="R79" s="163">
        <f t="shared" si="4"/>
        <v>1281.24</v>
      </c>
      <c r="S79" s="32"/>
    </row>
    <row r="80" spans="1:20" ht="18.75" thickBot="1" x14ac:dyDescent="0.3">
      <c r="A80" s="1" t="s">
        <v>106</v>
      </c>
      <c r="B80" s="26">
        <v>51371.54</v>
      </c>
      <c r="H80" s="128" t="str">
        <f>IF(B79-G79=0,"ok","NO")</f>
        <v>ok</v>
      </c>
      <c r="I80" s="85">
        <v>2</v>
      </c>
      <c r="J80" s="5">
        <v>6040</v>
      </c>
      <c r="K80" s="120"/>
      <c r="M80" s="5" t="s">
        <v>131</v>
      </c>
      <c r="O80" s="1"/>
      <c r="P80" s="85">
        <v>2</v>
      </c>
      <c r="Q80" s="5">
        <v>6040</v>
      </c>
      <c r="R80" s="163">
        <f t="shared" si="4"/>
        <v>0</v>
      </c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P81" s="5">
        <v>2</v>
      </c>
      <c r="Q81" s="119" t="s">
        <v>109</v>
      </c>
      <c r="R81" s="163">
        <f t="shared" si="4"/>
        <v>0</v>
      </c>
      <c r="S81" s="32"/>
    </row>
    <row r="82" spans="1:19" ht="18.75" thickBot="1" x14ac:dyDescent="0.3">
      <c r="B82" s="3">
        <f>+B80+B81</f>
        <v>51371.54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1557.65</v>
      </c>
      <c r="O84" s="1"/>
      <c r="P84" s="5">
        <v>3</v>
      </c>
      <c r="Q84" s="5">
        <v>6551</v>
      </c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>
        <v>3</v>
      </c>
      <c r="Q85" s="5">
        <v>6630</v>
      </c>
      <c r="R85" s="164"/>
      <c r="S85" s="32"/>
    </row>
    <row r="86" spans="1:19" s="33" customFormat="1" x14ac:dyDescent="0.25">
      <c r="A86" s="5"/>
      <c r="B86" s="32">
        <f>+B83+O58</f>
        <v>-7.2759576141834259E-12</v>
      </c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>
        <v>3</v>
      </c>
      <c r="Q86" s="5">
        <v>6565</v>
      </c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132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1921.91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6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4ECCE-CB9B-4A40-9C93-DD85815B8E07}">
  <sheetPr>
    <tabColor rgb="FF00B0F0"/>
    <pageSetUpPr fitToPage="1"/>
  </sheetPr>
  <dimension ref="A2:Y100"/>
  <sheetViews>
    <sheetView zoomScale="70" zoomScaleNormal="70" zoomScalePageLayoutView="70" workbookViewId="0">
      <selection activeCell="J40" sqref="J40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2.8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32" width="10.5" style="5"/>
    <col min="33" max="33" width="19.75" style="5" bestFit="1" customWidth="1"/>
    <col min="34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43760</v>
      </c>
      <c r="K2" s="9"/>
      <c r="M2" s="5" t="s">
        <v>1</v>
      </c>
    </row>
    <row r="3" spans="1:24" ht="18.75" thickBot="1" x14ac:dyDescent="0.3">
      <c r="A3" s="10" t="s">
        <v>2</v>
      </c>
      <c r="B3" s="8">
        <v>43738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B6" s="74"/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>
        <v>850.98</v>
      </c>
      <c r="C7" s="27"/>
      <c r="D7" s="28"/>
      <c r="E7" s="29"/>
      <c r="F7" s="30"/>
      <c r="G7" s="146">
        <v>426.99</v>
      </c>
      <c r="H7" s="37">
        <f t="shared" ref="H7:H32" si="0">B7-F7-G7</f>
        <v>423.99</v>
      </c>
      <c r="I7" s="12">
        <v>1</v>
      </c>
      <c r="J7" s="13">
        <v>6510</v>
      </c>
      <c r="K7" s="32">
        <f>+H7</f>
        <v>423.99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/>
      <c r="C8" s="27"/>
      <c r="F8" s="127"/>
      <c r="G8" s="127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/>
      <c r="C9" s="27"/>
      <c r="D9" s="4">
        <v>6500</v>
      </c>
      <c r="F9" s="127"/>
      <c r="G9" s="36"/>
      <c r="H9" s="37">
        <f t="shared" si="0"/>
        <v>0</v>
      </c>
      <c r="I9" s="12">
        <v>1</v>
      </c>
      <c r="J9" s="13">
        <v>6500</v>
      </c>
      <c r="K9" s="32">
        <f>+H9</f>
        <v>0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27"/>
      <c r="F10" s="148"/>
      <c r="G10" s="148"/>
      <c r="H10" s="37">
        <f t="shared" si="0"/>
        <v>0</v>
      </c>
      <c r="I10" s="12">
        <v>1</v>
      </c>
      <c r="J10" s="13">
        <v>6580</v>
      </c>
      <c r="K10" s="32">
        <f>ROUND(H43+H44+H45+H46-H16+H47,2)</f>
        <v>32.43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27"/>
      <c r="F11" s="150"/>
      <c r="G11" s="150"/>
      <c r="H11" s="37">
        <f t="shared" si="0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52.75</v>
      </c>
      <c r="C12" s="27"/>
      <c r="F12" s="41"/>
      <c r="G12" s="41"/>
      <c r="H12" s="37">
        <f>B12-F12-G12</f>
        <v>52.75</v>
      </c>
      <c r="I12" s="12">
        <v>1</v>
      </c>
      <c r="J12" s="13">
        <v>6570</v>
      </c>
      <c r="K12" s="32">
        <f>-H24+H52+H59</f>
        <v>13.258095254882605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12.34</v>
      </c>
      <c r="C13" s="27"/>
      <c r="F13" s="41"/>
      <c r="G13" s="41"/>
      <c r="H13" s="37">
        <f t="shared" si="0"/>
        <v>12.34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>
        <v>45</v>
      </c>
      <c r="C14" s="27"/>
      <c r="F14" s="41"/>
      <c r="G14" s="41"/>
      <c r="H14" s="37">
        <f t="shared" si="0"/>
        <v>45</v>
      </c>
      <c r="I14" s="12">
        <v>1</v>
      </c>
      <c r="J14" s="13">
        <v>6571</v>
      </c>
      <c r="K14" s="32">
        <f>+H56</f>
        <v>11.3</v>
      </c>
      <c r="L14" s="145"/>
      <c r="M14" s="5" t="s">
        <v>61</v>
      </c>
      <c r="P14" s="1"/>
    </row>
    <row r="15" spans="1:24" x14ac:dyDescent="0.25">
      <c r="A15" s="34" t="s">
        <v>28</v>
      </c>
      <c r="B15" s="151"/>
      <c r="C15" s="27"/>
      <c r="F15" s="41"/>
      <c r="G15" s="41"/>
      <c r="H15" s="37">
        <f t="shared" si="0"/>
        <v>0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/>
      <c r="C16" s="27"/>
      <c r="F16" s="152"/>
      <c r="G16" s="44"/>
      <c r="H16" s="37">
        <f t="shared" si="0"/>
        <v>0</v>
      </c>
      <c r="I16" s="52">
        <v>1</v>
      </c>
      <c r="J16" s="10">
        <v>2120</v>
      </c>
      <c r="K16" s="21">
        <f>-H17</f>
        <v>-0.66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1">SUM(R7:R15)</f>
        <v>779.02</v>
      </c>
      <c r="S16" s="154">
        <f t="shared" si="1"/>
        <v>944.95</v>
      </c>
      <c r="T16" s="154">
        <f t="shared" si="1"/>
        <v>348.52</v>
      </c>
      <c r="U16" s="154">
        <f t="shared" si="1"/>
        <v>1512.56</v>
      </c>
      <c r="V16" s="154">
        <f t="shared" si="1"/>
        <v>670.31999999999994</v>
      </c>
      <c r="W16" s="154">
        <f t="shared" si="1"/>
        <v>4475.92</v>
      </c>
      <c r="X16" s="154">
        <f t="shared" si="1"/>
        <v>1797.86</v>
      </c>
    </row>
    <row r="17" spans="1:25" ht="19.5" thickTop="1" thickBot="1" x14ac:dyDescent="0.3">
      <c r="A17" s="34" t="s">
        <v>33</v>
      </c>
      <c r="B17" s="151">
        <v>1.32</v>
      </c>
      <c r="C17" s="27"/>
      <c r="F17" s="152"/>
      <c r="G17" s="44">
        <v>0.66</v>
      </c>
      <c r="H17" s="37">
        <f t="shared" si="0"/>
        <v>0.66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27"/>
      <c r="D18" s="54"/>
      <c r="E18" s="5"/>
      <c r="F18" s="41"/>
      <c r="G18" s="55"/>
      <c r="H18" s="37">
        <f t="shared" si="0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27"/>
      <c r="D19" s="54"/>
      <c r="E19" s="5"/>
      <c r="F19" s="41"/>
      <c r="G19" s="44"/>
      <c r="H19" s="37">
        <f t="shared" si="0"/>
        <v>0</v>
      </c>
      <c r="I19" s="12">
        <v>1</v>
      </c>
      <c r="J19" s="13">
        <v>6300</v>
      </c>
      <c r="K19" s="82">
        <f>ROUND(H72,2)</f>
        <v>15.34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27"/>
      <c r="D20" s="4"/>
      <c r="E20" s="5"/>
      <c r="F20" s="41"/>
      <c r="G20" s="55"/>
      <c r="H20" s="37">
        <f t="shared" si="0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27"/>
      <c r="D21" s="4"/>
      <c r="E21" s="5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27"/>
      <c r="D22" s="54"/>
      <c r="E22" s="5"/>
      <c r="F22" s="41"/>
      <c r="G22" s="44"/>
      <c r="H22" s="37">
        <f t="shared" si="0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27"/>
      <c r="D23" s="4"/>
      <c r="E23" s="5"/>
      <c r="F23" s="41"/>
      <c r="G23" s="55"/>
      <c r="H23" s="37">
        <f t="shared" si="0"/>
        <v>0</v>
      </c>
      <c r="I23" s="12"/>
      <c r="J23" s="13"/>
      <c r="K23" s="59">
        <f>SUM(K7:K22)</f>
        <v>495.6580952548826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>
        <v>34.01</v>
      </c>
      <c r="C24" s="27"/>
      <c r="D24" s="4"/>
      <c r="E24" s="5"/>
      <c r="F24" s="152"/>
      <c r="G24" s="44"/>
      <c r="H24" s="37">
        <f t="shared" si="0"/>
        <v>34.01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27"/>
      <c r="D25" s="4"/>
      <c r="E25" s="5"/>
      <c r="F25" s="41"/>
      <c r="G25" s="44"/>
      <c r="H25" s="37">
        <f t="shared" si="0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27"/>
      <c r="D26" s="4"/>
      <c r="E26" s="5"/>
      <c r="F26" s="44"/>
      <c r="G26" s="44"/>
      <c r="H26" s="37">
        <f t="shared" si="0"/>
        <v>0</v>
      </c>
      <c r="I26" s="12">
        <v>2</v>
      </c>
      <c r="J26" s="13">
        <v>6510</v>
      </c>
      <c r="K26" s="32">
        <f>+G7</f>
        <v>426.99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27"/>
      <c r="D27" s="54"/>
      <c r="E27" s="5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63"/>
      <c r="D28" s="4"/>
      <c r="E28" s="5"/>
      <c r="F28" s="41"/>
      <c r="G28" s="55"/>
      <c r="H28" s="37">
        <f t="shared" si="0"/>
        <v>0</v>
      </c>
      <c r="I28" s="12">
        <v>2</v>
      </c>
      <c r="J28" s="13">
        <v>6500</v>
      </c>
      <c r="K28" s="32">
        <f>+G9</f>
        <v>0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27"/>
      <c r="D29" s="54"/>
      <c r="E29" s="5"/>
      <c r="F29" s="41"/>
      <c r="G29" s="44"/>
      <c r="H29" s="37">
        <f t="shared" si="0"/>
        <v>0</v>
      </c>
      <c r="I29" s="12">
        <v>2</v>
      </c>
      <c r="J29" s="13">
        <v>6580</v>
      </c>
      <c r="K29" s="32">
        <f>-G16+G43+G44+G45+G46+G47</f>
        <v>32.64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65"/>
      <c r="D30" s="54"/>
      <c r="E30" s="5"/>
      <c r="F30" s="66"/>
      <c r="G30" s="67"/>
      <c r="H30" s="37">
        <f t="shared" si="0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27"/>
      <c r="D31" s="4"/>
      <c r="E31" s="5"/>
      <c r="F31" s="68"/>
      <c r="G31" s="67"/>
      <c r="H31" s="37">
        <f t="shared" si="0"/>
        <v>0</v>
      </c>
      <c r="I31" s="12">
        <v>2</v>
      </c>
      <c r="J31" s="13">
        <v>6570</v>
      </c>
      <c r="K31" s="32">
        <f>-G24+G52+G59</f>
        <v>13.351904745117395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27">
        <f t="shared" ref="C32" si="2">B32-F32-G32-H32</f>
        <v>0</v>
      </c>
      <c r="D32" s="4">
        <v>6500</v>
      </c>
      <c r="E32" s="5"/>
      <c r="F32" s="69"/>
      <c r="G32" s="70"/>
      <c r="H32" s="37">
        <f t="shared" si="0"/>
        <v>0</v>
      </c>
      <c r="I32" s="12">
        <v>2</v>
      </c>
      <c r="J32" s="13">
        <v>6571</v>
      </c>
      <c r="K32" s="32">
        <f>G56</f>
        <v>7.11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705.56</v>
      </c>
      <c r="C33" s="72">
        <f>B33-F33-G33-H33</f>
        <v>-1.3200000000001069</v>
      </c>
      <c r="D33" s="71"/>
      <c r="E33" s="71"/>
      <c r="F33" s="71">
        <f>F7+F8+F10+F11-F12-F13-F14-F15-F16-F30-F21-F27-F26-F29-F18-F22-F19-F24-F23-F25+F31+F32</f>
        <v>0</v>
      </c>
      <c r="G33" s="71">
        <f>G7+G8+G10+G11-G12-G13-G14-G15-G16-G30-G21-G27-G26-G29-G18-G22-G19-G24-G23-G25+G31+G32</f>
        <v>426.99</v>
      </c>
      <c r="H33" s="71">
        <f>H7+H8+H10+H11-H12-H13-H14-H15-H16-H30-H21-H27-H26-H29-H18-H22-H19-H24-H23-H25+H31+H32-H20-H28</f>
        <v>279.89000000000004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-0.66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52.75</v>
      </c>
      <c r="C38" s="27">
        <f>B38-F38-G38-H38</f>
        <v>0</v>
      </c>
      <c r="D38" s="28">
        <v>2100</v>
      </c>
      <c r="E38" s="29"/>
      <c r="F38" s="81">
        <v>0</v>
      </c>
      <c r="G38" s="80">
        <v>0</v>
      </c>
      <c r="H38" s="31">
        <f>B38-G38-F38</f>
        <v>52.75</v>
      </c>
      <c r="I38" s="12">
        <v>2</v>
      </c>
      <c r="J38" s="13">
        <v>6300</v>
      </c>
      <c r="K38" s="84">
        <f>ROUND(G72,2)</f>
        <v>15.44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12.34</v>
      </c>
      <c r="C39" s="27">
        <f>B39-F39-G39-H39</f>
        <v>0</v>
      </c>
      <c r="D39" s="4">
        <v>2100</v>
      </c>
      <c r="E39" s="5"/>
      <c r="F39" s="6">
        <v>0</v>
      </c>
      <c r="G39" s="83">
        <v>0</v>
      </c>
      <c r="H39" s="37">
        <f>B39-G39-F39</f>
        <v>12.34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45</v>
      </c>
      <c r="C40" s="27">
        <f>B40-F40-G40-H40</f>
        <v>0</v>
      </c>
      <c r="D40" s="4">
        <v>2110</v>
      </c>
      <c r="E40" s="5"/>
      <c r="F40" s="6">
        <v>0</v>
      </c>
      <c r="G40" s="83">
        <v>0</v>
      </c>
      <c r="H40" s="37">
        <f>B40-G40-F40</f>
        <v>45</v>
      </c>
      <c r="I40" s="85"/>
      <c r="J40" s="5"/>
      <c r="K40" s="86">
        <f>SUM(K26:K39)</f>
        <v>494.87190474511738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0</v>
      </c>
      <c r="C41" s="27">
        <f>B41-F41-G41-H41</f>
        <v>0</v>
      </c>
      <c r="D41" s="4">
        <v>2120</v>
      </c>
      <c r="E41" s="5"/>
      <c r="F41" s="6">
        <v>0</v>
      </c>
      <c r="G41" s="83">
        <v>0</v>
      </c>
      <c r="H41" s="37">
        <f>B41-G41-F41</f>
        <v>0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52.74</v>
      </c>
      <c r="C43" s="27">
        <f>B43-F43-G43-H43</f>
        <v>0</v>
      </c>
      <c r="D43" s="4">
        <v>6580</v>
      </c>
      <c r="E43" s="5"/>
      <c r="F43" s="152"/>
      <c r="G43" s="152">
        <v>26.46</v>
      </c>
      <c r="H43" s="37">
        <f>B43-F43-G43</f>
        <v>26.28</v>
      </c>
      <c r="I43" s="12">
        <v>3</v>
      </c>
      <c r="J43" s="13">
        <v>6510</v>
      </c>
      <c r="K43" s="92">
        <f>+F7</f>
        <v>0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12.33</v>
      </c>
      <c r="C44" s="27">
        <f>B44-F44-G44-H44</f>
        <v>0</v>
      </c>
      <c r="D44" s="4">
        <v>6580</v>
      </c>
      <c r="E44" s="5"/>
      <c r="F44" s="152"/>
      <c r="G44" s="152">
        <v>6.18</v>
      </c>
      <c r="H44" s="37">
        <f>B44-F44-G44</f>
        <v>6.15</v>
      </c>
      <c r="I44" s="12">
        <v>3</v>
      </c>
      <c r="J44" s="13">
        <v>6505</v>
      </c>
      <c r="K44" s="92">
        <f>+F8</f>
        <v>0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/>
      <c r="C45" s="27">
        <f>B45-F45-G45-H45</f>
        <v>0</v>
      </c>
      <c r="D45" s="4">
        <v>6580</v>
      </c>
      <c r="E45" s="5"/>
      <c r="F45" s="90"/>
      <c r="G45" s="91"/>
      <c r="H45" s="37">
        <f>B45-G45-F45</f>
        <v>0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/>
      <c r="C46" s="27">
        <f>B46-F46-G46-H46</f>
        <v>0</v>
      </c>
      <c r="D46" s="4">
        <v>6580</v>
      </c>
      <c r="E46" s="5"/>
      <c r="F46" s="93"/>
      <c r="G46" s="94"/>
      <c r="H46" s="37">
        <f>B46-G46-F46</f>
        <v>0</v>
      </c>
      <c r="I46" s="12">
        <v>3</v>
      </c>
      <c r="J46" s="13">
        <v>6580</v>
      </c>
      <c r="K46" s="92">
        <f>-F16+F43+F44+F45+F46+F47</f>
        <v>0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/>
      <c r="C47" s="27">
        <f>B47-F47-G47-H47</f>
        <v>0</v>
      </c>
      <c r="D47" s="4"/>
      <c r="E47" s="5"/>
      <c r="F47" s="95"/>
      <c r="G47" s="96"/>
      <c r="H47" s="37">
        <f>B47-G47-F47</f>
        <v>0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65.070000000000007</v>
      </c>
      <c r="C48" s="27">
        <f>B49-F48-G48-H48</f>
        <v>0</v>
      </c>
      <c r="D48" s="7"/>
      <c r="E48" s="1"/>
      <c r="F48" s="97">
        <f>SUM(F38:F47)</f>
        <v>0</v>
      </c>
      <c r="G48" s="97">
        <f>SUM(G38:G47)</f>
        <v>32.64</v>
      </c>
      <c r="H48" s="71">
        <f>SUM(H38:H47)</f>
        <v>142.52000000000001</v>
      </c>
      <c r="I48" s="12">
        <v>3</v>
      </c>
      <c r="J48" s="13">
        <v>6300</v>
      </c>
      <c r="K48" s="92">
        <f>ROUND(F72,2)</f>
        <v>0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5" s="33" customFormat="1" ht="19.5" thickTop="1" thickBot="1" x14ac:dyDescent="0.3">
      <c r="A49" s="34" t="s">
        <v>60</v>
      </c>
      <c r="B49" s="98">
        <f>SUM(B38:B47)</f>
        <v>175.16000000000003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5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0</v>
      </c>
      <c r="L50" s="1"/>
      <c r="M50" s="1" t="s">
        <v>34</v>
      </c>
      <c r="N50" s="1"/>
      <c r="O50" s="1"/>
      <c r="P50" s="1"/>
    </row>
    <row r="51" spans="1:25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5" x14ac:dyDescent="0.25">
      <c r="A52" s="25" t="s">
        <v>78</v>
      </c>
      <c r="B52" s="80">
        <f>B24</f>
        <v>34.01</v>
      </c>
      <c r="C52" s="106"/>
      <c r="D52" s="28">
        <v>6570</v>
      </c>
      <c r="E52" s="29"/>
      <c r="F52" s="81">
        <f>F24</f>
        <v>0</v>
      </c>
      <c r="G52" s="107">
        <f>G24</f>
        <v>0</v>
      </c>
      <c r="H52" s="31">
        <f>B52-G52-F52</f>
        <v>34.01</v>
      </c>
      <c r="I52" s="12">
        <v>3</v>
      </c>
      <c r="J52" s="13">
        <v>6570</v>
      </c>
      <c r="K52" s="92">
        <f>F59</f>
        <v>0</v>
      </c>
      <c r="M52" s="5" t="s">
        <v>25</v>
      </c>
      <c r="O52" s="1"/>
      <c r="P52" s="1"/>
    </row>
    <row r="53" spans="1:25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0</v>
      </c>
      <c r="M53" s="5" t="s">
        <v>27</v>
      </c>
      <c r="O53" s="1"/>
      <c r="P53" s="1"/>
    </row>
    <row r="54" spans="1:25" x14ac:dyDescent="0.25">
      <c r="A54" s="34" t="s">
        <v>60</v>
      </c>
      <c r="B54" s="108">
        <f>SUM(B52:B53)</f>
        <v>34.01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5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5" ht="18.75" thickBot="1" x14ac:dyDescent="0.3">
      <c r="A56" s="34" t="s">
        <v>80</v>
      </c>
      <c r="B56" s="110">
        <v>18.41</v>
      </c>
      <c r="C56" s="111"/>
      <c r="D56" s="4">
        <v>6571</v>
      </c>
      <c r="F56" s="152"/>
      <c r="G56" s="44">
        <v>7.11</v>
      </c>
      <c r="H56" s="37">
        <f>B56-F56-G56</f>
        <v>11.3</v>
      </c>
      <c r="I56" s="12"/>
      <c r="J56" s="13"/>
      <c r="K56" s="86">
        <f>SUM(K43:K55)</f>
        <v>0</v>
      </c>
      <c r="L56" s="1"/>
      <c r="N56" s="1">
        <v>2040</v>
      </c>
      <c r="O56" s="1"/>
      <c r="P56" s="1"/>
      <c r="Q56" s="33">
        <f>+O58+K58</f>
        <v>0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5" ht="18.75" thickTop="1" x14ac:dyDescent="0.25">
      <c r="A57" s="34" t="s">
        <v>61</v>
      </c>
      <c r="B57" s="112"/>
      <c r="C57" s="111"/>
      <c r="D57" s="4">
        <v>6571</v>
      </c>
      <c r="F57" s="93"/>
      <c r="G57" s="157"/>
      <c r="H57" s="37">
        <f>B57-F57-G57</f>
        <v>0</v>
      </c>
      <c r="I57" s="12"/>
      <c r="J57" s="13"/>
      <c r="K57" s="32"/>
      <c r="M57" s="1" t="s">
        <v>83</v>
      </c>
      <c r="O57" s="1"/>
      <c r="P57" s="1"/>
    </row>
    <row r="58" spans="1:25" ht="18.75" thickBot="1" x14ac:dyDescent="0.3">
      <c r="A58" s="34" t="s">
        <v>82</v>
      </c>
      <c r="B58" s="83">
        <f>+B20</f>
        <v>0</v>
      </c>
      <c r="C58" s="111"/>
      <c r="F58" s="6"/>
      <c r="G58" s="88"/>
      <c r="H58" s="37">
        <f>B58-F58-G58</f>
        <v>0</v>
      </c>
      <c r="I58" s="52">
        <v>1</v>
      </c>
      <c r="J58" s="10">
        <v>1012</v>
      </c>
      <c r="K58" s="113">
        <f>-(K23+K40+K56+K76+K83+K88)-K59-K60</f>
        <v>-990.53</v>
      </c>
      <c r="M58" s="1"/>
      <c r="O58" s="114">
        <f>+'[11]1012-CNB Checking'!$F$78</f>
        <v>990.53</v>
      </c>
      <c r="P58" s="114"/>
      <c r="Y58" s="32">
        <f>+K58+O58</f>
        <v>0</v>
      </c>
    </row>
    <row r="59" spans="1:25" ht="18.75" thickTop="1" x14ac:dyDescent="0.25">
      <c r="A59" s="34" t="s">
        <v>25</v>
      </c>
      <c r="B59" s="110">
        <v>26.61</v>
      </c>
      <c r="C59" s="111"/>
      <c r="D59" s="4">
        <v>6570</v>
      </c>
      <c r="F59" s="160">
        <f>+B59*F65</f>
        <v>0</v>
      </c>
      <c r="G59" s="88">
        <f>+B59*G70</f>
        <v>13.351904745117395</v>
      </c>
      <c r="H59" s="37">
        <f>+B59*H65</f>
        <v>13.258095254882605</v>
      </c>
      <c r="I59" s="85">
        <v>1</v>
      </c>
      <c r="K59" s="21"/>
      <c r="O59" s="21"/>
      <c r="P59" s="1"/>
    </row>
    <row r="60" spans="1:25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85">
        <v>1</v>
      </c>
      <c r="K60" s="21"/>
      <c r="O60" s="21"/>
      <c r="P60" s="1"/>
    </row>
    <row r="61" spans="1:25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>B61-F61-G61</f>
        <v>0</v>
      </c>
      <c r="I61" s="85"/>
      <c r="K61" s="21"/>
      <c r="O61" s="21"/>
      <c r="P61" s="1"/>
    </row>
    <row r="62" spans="1:25" ht="18.75" thickBot="1" x14ac:dyDescent="0.3">
      <c r="A62" s="34" t="s">
        <v>60</v>
      </c>
      <c r="B62" s="116">
        <f>B54+B60+B61+B56+B59+B58</f>
        <v>79.03</v>
      </c>
      <c r="C62" s="117"/>
      <c r="D62" s="7"/>
      <c r="E62" s="1"/>
      <c r="F62" s="71">
        <f>F52+F56</f>
        <v>0</v>
      </c>
      <c r="G62" s="71">
        <f>G52+G56</f>
        <v>7.11</v>
      </c>
      <c r="H62" s="118">
        <f>B62-G62</f>
        <v>71.92</v>
      </c>
      <c r="I62" s="115" t="s">
        <v>85</v>
      </c>
      <c r="K62" s="32"/>
      <c r="O62" s="1"/>
      <c r="P62" s="1"/>
    </row>
    <row r="63" spans="1:25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5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f>+(F7+F8)/($B$7+$B$8)</f>
        <v>0</v>
      </c>
      <c r="G65" s="123">
        <f>+(G7+G8)/($B$7+$B$8)</f>
        <v>0.50176267362335192</v>
      </c>
      <c r="H65" s="123">
        <f>+(H7+H8)/($B$7+$B$8)</f>
        <v>0.49823732637664808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0</v>
      </c>
      <c r="G70" s="123">
        <f>G65</f>
        <v>0.50176267362335192</v>
      </c>
      <c r="H70" s="123">
        <f>H65</f>
        <v>0.49823732637664808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>
        <f>28.93+1.85</f>
        <v>30.78</v>
      </c>
      <c r="C71" s="106"/>
      <c r="D71" s="28">
        <v>6300</v>
      </c>
      <c r="E71" s="29"/>
      <c r="F71" s="81">
        <f>B71*F70</f>
        <v>0</v>
      </c>
      <c r="G71" s="107">
        <f>B71*G70</f>
        <v>15.444255094126772</v>
      </c>
      <c r="H71" s="31">
        <f>B71*H70-0</f>
        <v>15.335744905873229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30.78</v>
      </c>
      <c r="C72" s="117"/>
      <c r="D72" s="7"/>
      <c r="E72" s="1"/>
      <c r="F72" s="71">
        <f>F71</f>
        <v>0</v>
      </c>
      <c r="G72" s="71">
        <f>G71</f>
        <v>15.444255094126772</v>
      </c>
      <c r="H72" s="118">
        <f>H71</f>
        <v>15.335744905873229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990.53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705.56</v>
      </c>
      <c r="C77" s="130"/>
      <c r="D77" s="131" t="s">
        <v>100</v>
      </c>
      <c r="E77" s="6"/>
      <c r="F77" s="6"/>
      <c r="G77" s="132"/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705.56</v>
      </c>
      <c r="C80" s="130"/>
      <c r="D80" s="131"/>
      <c r="E80" s="6"/>
      <c r="F80" s="6"/>
      <c r="G80" s="129">
        <f>SUM(G77:G79)</f>
        <v>0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959.75</v>
      </c>
      <c r="C81" s="3"/>
      <c r="D81" s="4"/>
      <c r="E81" s="5"/>
      <c r="F81" s="5"/>
      <c r="G81" s="5"/>
      <c r="H81" s="128" t="str">
        <f>IF(B80-G80=0,"ok","NO")</f>
        <v>NO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30.78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990.53</v>
      </c>
      <c r="C83" s="128" t="str">
        <f>IF(B75=B83,"ok","NO")</f>
        <v>ok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0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FF5-A124-4EDE-9FB3-8108B0F581A5}">
  <sheetPr>
    <tabColor rgb="FF00B050"/>
    <pageSetUpPr fitToPage="1"/>
  </sheetPr>
  <dimension ref="A2:Z99"/>
  <sheetViews>
    <sheetView zoomScale="70" zoomScaleNormal="70" zoomScalePageLayoutView="70" workbookViewId="0">
      <selection activeCell="A92" sqref="A92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5.375" style="3" bestFit="1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customWidth="1"/>
    <col min="17" max="17" width="15.25" style="5" customWidth="1"/>
    <col min="18" max="18" width="18.125" style="5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43769</v>
      </c>
      <c r="K2" s="9"/>
      <c r="M2" s="5" t="s">
        <v>1</v>
      </c>
    </row>
    <row r="3" spans="1:19" x14ac:dyDescent="0.25">
      <c r="A3" s="10" t="s">
        <v>2</v>
      </c>
      <c r="B3" s="8">
        <v>43763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0.4</v>
      </c>
    </row>
    <row r="7" spans="1:19" x14ac:dyDescent="0.25">
      <c r="A7" s="25" t="s">
        <v>14</v>
      </c>
      <c r="B7" s="26">
        <f>47749.3-99.8</f>
        <v>47649.5</v>
      </c>
      <c r="C7" s="27">
        <f>B7-F7-G7-H7</f>
        <v>0</v>
      </c>
      <c r="D7" s="28">
        <v>6500</v>
      </c>
      <c r="E7" s="29"/>
      <c r="F7" s="30">
        <v>3550.84</v>
      </c>
      <c r="G7" s="30">
        <v>17958.04</v>
      </c>
      <c r="H7" s="31">
        <f t="shared" ref="H7:H31" si="0">B7-F7-G7</f>
        <v>26140.620000000003</v>
      </c>
      <c r="I7" s="12">
        <v>1</v>
      </c>
      <c r="J7" s="13">
        <v>6500</v>
      </c>
      <c r="K7" s="32">
        <f>H7+H31</f>
        <v>26140.620000000003</v>
      </c>
      <c r="M7" s="5" t="s">
        <v>15</v>
      </c>
      <c r="P7" s="5">
        <v>1</v>
      </c>
      <c r="Q7" s="13">
        <v>6500</v>
      </c>
      <c r="R7" s="33">
        <f>+K7*$R$6</f>
        <v>10456.248000000001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3635.05</v>
      </c>
      <c r="C10" s="27"/>
      <c r="D10" s="4">
        <v>6040</v>
      </c>
      <c r="F10" s="35"/>
      <c r="G10" s="35">
        <v>869.85</v>
      </c>
      <c r="H10" s="37">
        <f t="shared" si="0"/>
        <v>2765.2000000000003</v>
      </c>
      <c r="I10" s="12">
        <v>1</v>
      </c>
      <c r="J10" s="13">
        <v>6580</v>
      </c>
      <c r="K10" s="32">
        <f>ROUND($H$42+$H$43+$H$44+$H$45-$H$15+$H$46,2)</f>
        <v>2308.77</v>
      </c>
      <c r="M10" s="39" t="s">
        <v>21</v>
      </c>
      <c r="P10" s="5">
        <v>1</v>
      </c>
      <c r="Q10" s="13">
        <v>6580</v>
      </c>
      <c r="R10" s="33">
        <f>+K10*$R$6</f>
        <v>923.50800000000004</v>
      </c>
      <c r="S10" s="32"/>
    </row>
    <row r="11" spans="1:19" x14ac:dyDescent="0.25">
      <c r="A11" s="34" t="s">
        <v>22</v>
      </c>
      <c r="B11" s="40">
        <v>2849.58</v>
      </c>
      <c r="C11" s="27">
        <f t="shared" ref="C11:C30" si="1">B11-F11-G11-H11</f>
        <v>0</v>
      </c>
      <c r="D11" s="4">
        <v>2100</v>
      </c>
      <c r="F11" s="41"/>
      <c r="G11" s="41"/>
      <c r="H11" s="37">
        <f t="shared" si="0"/>
        <v>2849.58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666.43</v>
      </c>
      <c r="C12" s="27">
        <f t="shared" si="1"/>
        <v>0</v>
      </c>
      <c r="D12" s="4">
        <v>2100</v>
      </c>
      <c r="F12" s="41"/>
      <c r="G12" s="41"/>
      <c r="H12" s="37">
        <f t="shared" si="0"/>
        <v>666.43</v>
      </c>
      <c r="I12" s="12">
        <v>1</v>
      </c>
      <c r="J12" s="13">
        <v>6570</v>
      </c>
      <c r="K12" s="32">
        <f>-H23+H51+H58</f>
        <v>408.38</v>
      </c>
      <c r="M12" s="5" t="s">
        <v>25</v>
      </c>
      <c r="P12" s="5">
        <v>1</v>
      </c>
      <c r="Q12" s="13">
        <v>6570</v>
      </c>
      <c r="R12" s="33">
        <f>+K12*R6</f>
        <v>163.352</v>
      </c>
      <c r="S12" s="32"/>
    </row>
    <row r="13" spans="1:19" x14ac:dyDescent="0.25">
      <c r="A13" s="34" t="s">
        <v>26</v>
      </c>
      <c r="B13" s="42">
        <v>3662.15</v>
      </c>
      <c r="C13" s="27">
        <f t="shared" si="1"/>
        <v>0</v>
      </c>
      <c r="D13" s="4">
        <v>2110</v>
      </c>
      <c r="F13" s="41"/>
      <c r="G13" s="41"/>
      <c r="H13" s="37">
        <f t="shared" si="0"/>
        <v>3662.15</v>
      </c>
      <c r="I13" s="12">
        <v>1</v>
      </c>
      <c r="J13" s="13">
        <v>6571</v>
      </c>
      <c r="K13" s="32">
        <f>ROUND(H55,2)</f>
        <v>984.54</v>
      </c>
      <c r="M13" s="43" t="s">
        <v>27</v>
      </c>
      <c r="P13" s="5">
        <v>1</v>
      </c>
      <c r="Q13" s="13">
        <v>6571</v>
      </c>
      <c r="R13" s="33">
        <f>+K13*$R$6</f>
        <v>393.81600000000003</v>
      </c>
      <c r="S13" s="32"/>
    </row>
    <row r="14" spans="1:19" x14ac:dyDescent="0.25">
      <c r="A14" s="34" t="s">
        <v>28</v>
      </c>
      <c r="B14" s="42">
        <v>1976.41</v>
      </c>
      <c r="C14" s="27">
        <f t="shared" si="1"/>
        <v>0</v>
      </c>
      <c r="D14" s="4">
        <v>2120</v>
      </c>
      <c r="F14" s="41"/>
      <c r="G14" s="41"/>
      <c r="H14" s="37">
        <f t="shared" si="0"/>
        <v>1976.41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27.8</v>
      </c>
      <c r="C15" s="27">
        <f t="shared" si="1"/>
        <v>0</v>
      </c>
      <c r="D15" s="4">
        <v>6580</v>
      </c>
      <c r="F15" s="44">
        <v>1.2</v>
      </c>
      <c r="G15" s="44">
        <v>8.4</v>
      </c>
      <c r="H15" s="37">
        <f t="shared" si="0"/>
        <v>18.200000000000003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/>
    </row>
    <row r="16" spans="1:19" ht="18.75" thickBot="1" x14ac:dyDescent="0.3">
      <c r="A16" s="34" t="s">
        <v>33</v>
      </c>
      <c r="B16" s="51">
        <v>52.37</v>
      </c>
      <c r="C16" s="27">
        <f t="shared" si="1"/>
        <v>0</v>
      </c>
      <c r="D16" s="7">
        <v>2120</v>
      </c>
      <c r="F16" s="44">
        <v>3.77</v>
      </c>
      <c r="G16" s="44">
        <v>16.690000000000001</v>
      </c>
      <c r="H16" s="37">
        <f t="shared" si="0"/>
        <v>31.909999999999993</v>
      </c>
      <c r="I16" s="52">
        <v>1</v>
      </c>
      <c r="J16" s="10">
        <v>2120</v>
      </c>
      <c r="K16" s="21">
        <f>-H16</f>
        <v>-31.909999999999993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-12.763999999999998</v>
      </c>
      <c r="S16" s="32"/>
    </row>
    <row r="17" spans="1:26" x14ac:dyDescent="0.25">
      <c r="A17" s="34" t="s">
        <v>35</v>
      </c>
      <c r="B17" s="40">
        <v>14.64</v>
      </c>
      <c r="C17" s="27">
        <f t="shared" si="1"/>
        <v>0</v>
      </c>
      <c r="D17" s="54">
        <v>1830</v>
      </c>
      <c r="F17" s="41"/>
      <c r="G17" s="55"/>
      <c r="H17" s="37">
        <f t="shared" si="0"/>
        <v>14.64</v>
      </c>
      <c r="I17" s="12">
        <v>1</v>
      </c>
      <c r="J17" s="13">
        <v>1830</v>
      </c>
      <c r="K17" s="56">
        <f>ROUND(-H20-H27-H17-H18-H21-H26-H28,2)</f>
        <v>-1851.65</v>
      </c>
      <c r="M17" s="5" t="s">
        <v>36</v>
      </c>
      <c r="P17" s="5">
        <v>1</v>
      </c>
      <c r="Q17" s="13">
        <v>1830</v>
      </c>
      <c r="R17" s="33">
        <f>+K17*$R$6</f>
        <v>-740.66000000000008</v>
      </c>
      <c r="S17" s="32"/>
    </row>
    <row r="18" spans="1:26" x14ac:dyDescent="0.25">
      <c r="A18" s="34" t="s">
        <v>37</v>
      </c>
      <c r="B18" s="42">
        <v>87.96</v>
      </c>
      <c r="C18" s="27">
        <f t="shared" si="1"/>
        <v>0</v>
      </c>
      <c r="D18" s="54">
        <v>1830</v>
      </c>
      <c r="F18" s="41"/>
      <c r="G18" s="44"/>
      <c r="H18" s="37">
        <f t="shared" si="0"/>
        <v>87.96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42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305.95</v>
      </c>
      <c r="M19" s="5" t="s">
        <v>40</v>
      </c>
      <c r="P19" s="5">
        <v>1</v>
      </c>
      <c r="Q19" s="13">
        <v>6300</v>
      </c>
      <c r="R19" s="33">
        <f>+K19*$R$6</f>
        <v>122.38</v>
      </c>
      <c r="S19" s="32"/>
    </row>
    <row r="20" spans="1:26" x14ac:dyDescent="0.25">
      <c r="A20" s="34" t="s">
        <v>41</v>
      </c>
      <c r="B20" s="42">
        <v>1463.39</v>
      </c>
      <c r="C20" s="27">
        <f t="shared" si="1"/>
        <v>0</v>
      </c>
      <c r="D20" s="4">
        <v>1830</v>
      </c>
      <c r="F20" s="41"/>
      <c r="G20" s="44"/>
      <c r="H20" s="37">
        <f t="shared" si="0"/>
        <v>1463.39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42">
        <v>150</v>
      </c>
      <c r="C21" s="27">
        <f t="shared" si="1"/>
        <v>0</v>
      </c>
      <c r="D21" s="54">
        <v>1830</v>
      </c>
      <c r="F21" s="41"/>
      <c r="G21" s="44"/>
      <c r="H21" s="37">
        <f t="shared" si="0"/>
        <v>150</v>
      </c>
      <c r="I21" s="12">
        <v>1</v>
      </c>
      <c r="J21" s="13">
        <v>6630</v>
      </c>
      <c r="K21" s="32">
        <f>-H29</f>
        <v>0</v>
      </c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42"/>
      <c r="C22" s="27">
        <f t="shared" si="1"/>
        <v>0</v>
      </c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42">
        <v>1781.56</v>
      </c>
      <c r="C23" s="27">
        <f t="shared" si="1"/>
        <v>0</v>
      </c>
      <c r="D23" s="4">
        <v>6570</v>
      </c>
      <c r="F23" s="44">
        <v>172.48</v>
      </c>
      <c r="G23" s="44">
        <v>626.27</v>
      </c>
      <c r="H23" s="37">
        <f t="shared" si="0"/>
        <v>982.81</v>
      </c>
      <c r="I23" s="12"/>
      <c r="J23" s="13"/>
      <c r="K23" s="59">
        <f>SUM(K7:K22)</f>
        <v>28264.700000000004</v>
      </c>
      <c r="N23" s="1">
        <v>2040</v>
      </c>
      <c r="P23" s="5">
        <v>1</v>
      </c>
      <c r="Q23" s="13">
        <v>2040</v>
      </c>
      <c r="R23" s="60">
        <f>SUM(R7:R22)</f>
        <v>11305.880000000003</v>
      </c>
      <c r="S23" s="6"/>
      <c r="V23" s="32"/>
    </row>
    <row r="24" spans="1:26" ht="18.75" thickTop="1" x14ac:dyDescent="0.25">
      <c r="A24" s="34" t="s">
        <v>48</v>
      </c>
      <c r="B24" s="42">
        <v>465.81</v>
      </c>
      <c r="C24" s="27">
        <f t="shared" si="1"/>
        <v>0</v>
      </c>
      <c r="F24" s="41"/>
      <c r="G24" s="44"/>
      <c r="H24" s="37">
        <f t="shared" si="0"/>
        <v>465.81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42">
        <v>132.69</v>
      </c>
      <c r="C25" s="27">
        <f t="shared" si="1"/>
        <v>0</v>
      </c>
      <c r="F25" s="44"/>
      <c r="G25" s="44"/>
      <c r="H25" s="37">
        <f t="shared" si="0"/>
        <v>132.69</v>
      </c>
      <c r="I25" s="61">
        <v>2</v>
      </c>
      <c r="J25" s="62"/>
      <c r="K25" s="32"/>
      <c r="Q25" s="62"/>
      <c r="R25" s="33"/>
      <c r="V25" s="32"/>
    </row>
    <row r="26" spans="1:26" x14ac:dyDescent="0.25">
      <c r="A26" s="34" t="s">
        <v>50</v>
      </c>
      <c r="B26" s="42">
        <v>63.17</v>
      </c>
      <c r="C26" s="27">
        <f t="shared" si="1"/>
        <v>0</v>
      </c>
      <c r="D26" s="54">
        <v>1830</v>
      </c>
      <c r="F26" s="41"/>
      <c r="G26" s="55"/>
      <c r="H26" s="37">
        <f t="shared" si="0"/>
        <v>63.17</v>
      </c>
      <c r="I26" s="12">
        <v>2</v>
      </c>
      <c r="J26" s="13">
        <v>6500</v>
      </c>
      <c r="K26" s="32">
        <f>G7+G31</f>
        <v>17958.04</v>
      </c>
      <c r="M26" s="5" t="s">
        <v>51</v>
      </c>
      <c r="O26" s="32"/>
      <c r="P26" s="5">
        <v>2</v>
      </c>
      <c r="Q26" s="13">
        <v>6500</v>
      </c>
      <c r="R26" s="33">
        <f>+K26*R6</f>
        <v>7183.2160000000003</v>
      </c>
      <c r="S26" s="32"/>
      <c r="X26" s="32"/>
    </row>
    <row r="27" spans="1:26" x14ac:dyDescent="0.25">
      <c r="A27" s="34" t="s">
        <v>52</v>
      </c>
      <c r="B27" s="42">
        <v>14.66</v>
      </c>
      <c r="C27" s="63">
        <f t="shared" si="1"/>
        <v>0</v>
      </c>
      <c r="F27" s="41"/>
      <c r="G27" s="55"/>
      <c r="H27" s="37">
        <f t="shared" si="0"/>
        <v>14.66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51">
        <v>86.95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57.83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168"/>
      <c r="C29" s="65">
        <f t="shared" si="1"/>
        <v>0</v>
      </c>
      <c r="D29" s="54">
        <v>6630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1085.74</v>
      </c>
      <c r="M29" s="39" t="s">
        <v>21</v>
      </c>
      <c r="P29" s="5">
        <v>2</v>
      </c>
      <c r="Q29" s="13">
        <v>6580</v>
      </c>
      <c r="R29" s="33">
        <f>+K29*R6</f>
        <v>434.29600000000005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204.2</v>
      </c>
      <c r="M31" s="5" t="s">
        <v>25</v>
      </c>
      <c r="P31" s="5">
        <v>2</v>
      </c>
      <c r="Q31" s="13">
        <v>6570</v>
      </c>
      <c r="R31" s="33">
        <f>+K31*$R$6</f>
        <v>81.680000000000007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B7+B8+B10-B11-B12-B13-B14-B15-B16-B19-B29-B20-B26-B25-B28-B17-B21-B18-B23-B22-B24+B30+B31-B27+B9</f>
        <v>37788.979999999996</v>
      </c>
      <c r="C32" s="72">
        <f>B32-F32-G32-H32</f>
        <v>-14.660000000008949</v>
      </c>
      <c r="D32" s="71"/>
      <c r="E32" s="71"/>
      <c r="F32" s="71">
        <f>F7+F8+F10-F11-F12-F13-F14-F15-F16-F19-F29-F20-F26-F25-F28-F17-F21-F18-F23-F22-F24+F30+F31-F27+F9</f>
        <v>3362.6400000000003</v>
      </c>
      <c r="G32" s="71">
        <f>G7+G8+G10-G11-G12-G13-G14-G15-G16-G19-G29-G20-G26-G25-G28-G17-G21-G18-G23-G22-G24+G30+G31-G27+G9</f>
        <v>18158.16</v>
      </c>
      <c r="H32" s="71">
        <f>H7+H8+H10-H11-H12-H13-H14-H15-H16-H19-H29-H20-H26-H25-H28-H17-H21-H18-H23-H22-H24+H30+H31</f>
        <v>16282.840000000006</v>
      </c>
      <c r="I32" s="12">
        <v>2</v>
      </c>
      <c r="J32" s="13">
        <v>6571</v>
      </c>
      <c r="K32" s="32">
        <f>G55</f>
        <v>32.51</v>
      </c>
      <c r="M32" s="43" t="s">
        <v>27</v>
      </c>
      <c r="P32" s="5">
        <v>2</v>
      </c>
      <c r="Q32" s="13">
        <v>6571</v>
      </c>
      <c r="R32" s="33">
        <f>+K32*$R$6</f>
        <v>13.004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/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-16.690000000000001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-6.676000000000001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ROUND(-G17-G18-G20-G21-G26-G28-G29,2)</f>
        <v>-18.37</v>
      </c>
      <c r="M36" s="5" t="s">
        <v>36</v>
      </c>
      <c r="O36" s="1"/>
      <c r="P36" s="5">
        <v>2</v>
      </c>
      <c r="Q36" s="13">
        <v>1830</v>
      </c>
      <c r="R36" s="33">
        <f>+K36*$R$6</f>
        <v>-7.3480000000000008</v>
      </c>
      <c r="S36" s="32"/>
    </row>
    <row r="37" spans="1:22" x14ac:dyDescent="0.25">
      <c r="A37" s="25" t="s">
        <v>66</v>
      </c>
      <c r="B37" s="80">
        <f>B11</f>
        <v>2849.58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2849.58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666.43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666.43</v>
      </c>
      <c r="I38" s="12">
        <v>2</v>
      </c>
      <c r="J38" s="13">
        <v>6300</v>
      </c>
      <c r="K38" s="84">
        <f>ROUND(G70,2)</f>
        <v>152.97</v>
      </c>
      <c r="M38" s="5" t="s">
        <v>40</v>
      </c>
      <c r="O38" s="1"/>
      <c r="P38" s="5">
        <v>2</v>
      </c>
      <c r="Q38" s="13">
        <v>6300</v>
      </c>
      <c r="R38" s="33">
        <f>+K38*$R$6</f>
        <v>61.188000000000002</v>
      </c>
      <c r="S38" s="32"/>
    </row>
    <row r="39" spans="1:22" x14ac:dyDescent="0.25">
      <c r="A39" s="34" t="s">
        <v>68</v>
      </c>
      <c r="B39" s="83">
        <f>B13</f>
        <v>3662.15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3662.15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1976.41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1976.41</v>
      </c>
      <c r="I40" s="85"/>
      <c r="J40" s="5">
        <v>2040</v>
      </c>
      <c r="K40" s="86">
        <f>SUM(K26:K39)</f>
        <v>19398.400000000005</v>
      </c>
      <c r="N40" s="1">
        <v>2040</v>
      </c>
      <c r="O40" s="1"/>
      <c r="P40" s="5">
        <v>2</v>
      </c>
      <c r="Q40" s="5">
        <v>2040</v>
      </c>
      <c r="R40" s="86">
        <f>SUM(R26:R39)</f>
        <v>7759.3600000000006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2849.59</v>
      </c>
      <c r="C42" s="27">
        <f>B42-F42-G42-H42</f>
        <v>0</v>
      </c>
      <c r="D42" s="4">
        <v>6580</v>
      </c>
      <c r="F42" s="90">
        <v>146.44999999999999</v>
      </c>
      <c r="G42" s="90">
        <v>857.96</v>
      </c>
      <c r="H42" s="37">
        <f>B42-F42-G42</f>
        <v>1845.1800000000003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666.44</v>
      </c>
      <c r="C43" s="27">
        <f>B43-F43-G43-H43</f>
        <v>0</v>
      </c>
      <c r="D43" s="4">
        <v>6580</v>
      </c>
      <c r="F43" s="90">
        <v>34.25</v>
      </c>
      <c r="G43" s="90">
        <v>200.65</v>
      </c>
      <c r="H43" s="37">
        <f>B43-F43-G43</f>
        <v>431.54000000000008</v>
      </c>
      <c r="I43" s="12">
        <v>3</v>
      </c>
      <c r="J43" s="13">
        <v>6500</v>
      </c>
      <c r="K43" s="92">
        <f>F7+F31</f>
        <v>3550.84</v>
      </c>
      <c r="M43" s="5" t="s">
        <v>71</v>
      </c>
      <c r="O43" s="1"/>
      <c r="P43" s="5">
        <v>3</v>
      </c>
      <c r="Q43" s="13">
        <v>6500</v>
      </c>
      <c r="R43" s="33">
        <f>+K43*$R$6</f>
        <v>1420.3360000000002</v>
      </c>
      <c r="S43" s="32"/>
    </row>
    <row r="44" spans="1:22" x14ac:dyDescent="0.25">
      <c r="A44" s="34" t="s">
        <v>72</v>
      </c>
      <c r="B44" s="89">
        <v>18.07</v>
      </c>
      <c r="C44" s="27">
        <f>B44-F44-G44-H44</f>
        <v>0</v>
      </c>
      <c r="D44" s="4">
        <v>6580</v>
      </c>
      <c r="F44" s="90"/>
      <c r="G44" s="91">
        <v>8.8800000000000008</v>
      </c>
      <c r="H44" s="37">
        <f>B44-G44-F44</f>
        <v>9.19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64.89</v>
      </c>
      <c r="C45" s="27">
        <f>B45-F45-G45-H45</f>
        <v>0</v>
      </c>
      <c r="D45" s="4">
        <v>6580</v>
      </c>
      <c r="F45" s="90"/>
      <c r="G45" s="94">
        <v>25.54</v>
      </c>
      <c r="H45" s="37">
        <f>B45-G45-F45</f>
        <v>39.35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2.82</v>
      </c>
      <c r="C46" s="27">
        <f>B46-F46-G46-H46</f>
        <v>0</v>
      </c>
      <c r="F46" s="96"/>
      <c r="G46" s="96">
        <v>1.1100000000000001</v>
      </c>
      <c r="H46" s="37">
        <f>B46-G46-F46</f>
        <v>1.7099999999999997</v>
      </c>
      <c r="I46" s="12">
        <v>3</v>
      </c>
      <c r="J46" s="13">
        <v>6580</v>
      </c>
      <c r="K46" s="32">
        <f>ROUND($F$42+$F$43+$F$44+$F$45-$F$15+$F$46,2)</f>
        <v>179.5</v>
      </c>
      <c r="M46" s="39" t="s">
        <v>21</v>
      </c>
      <c r="O46" s="1"/>
      <c r="P46" s="5">
        <v>3</v>
      </c>
      <c r="Q46" s="13">
        <v>6580</v>
      </c>
      <c r="R46" s="33">
        <f>+K46*$R$6</f>
        <v>71.8</v>
      </c>
      <c r="S46" s="32"/>
    </row>
    <row r="47" spans="1:22" ht="18.75" thickBot="1" x14ac:dyDescent="0.3">
      <c r="B47" s="97">
        <f>SUM(B42:B46)</f>
        <v>3601.8100000000004</v>
      </c>
      <c r="C47" s="27">
        <f>B48-F47-G47-H47</f>
        <v>0</v>
      </c>
      <c r="D47" s="7"/>
      <c r="E47" s="1"/>
      <c r="F47" s="97">
        <f>SUM(F37:F46)</f>
        <v>180.7</v>
      </c>
      <c r="G47" s="97">
        <f>SUM(G37:G46)</f>
        <v>1094.1400000000001</v>
      </c>
      <c r="H47" s="71">
        <f>SUM(H37:H46)</f>
        <v>11481.54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12756.38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50.99</v>
      </c>
      <c r="M48" s="5" t="s">
        <v>40</v>
      </c>
      <c r="O48" s="1"/>
      <c r="P48" s="5">
        <v>3</v>
      </c>
      <c r="Q48" s="13">
        <v>6300</v>
      </c>
      <c r="R48" s="33">
        <f>+K48*$R$6</f>
        <v>20.396000000000001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-3.77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-1.508</v>
      </c>
      <c r="S50" s="32"/>
    </row>
    <row r="51" spans="1:23" x14ac:dyDescent="0.25">
      <c r="A51" s="25" t="s">
        <v>78</v>
      </c>
      <c r="B51" s="80">
        <f>B23</f>
        <v>1781.56</v>
      </c>
      <c r="C51" s="106"/>
      <c r="D51" s="28">
        <v>6570</v>
      </c>
      <c r="E51" s="29"/>
      <c r="F51" s="81">
        <f>F23</f>
        <v>172.48</v>
      </c>
      <c r="G51" s="107">
        <f>G23</f>
        <v>626.27</v>
      </c>
      <c r="H51" s="31">
        <f>B51-G51-F51</f>
        <v>982.81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68.069999999999993</v>
      </c>
      <c r="M52" s="5" t="s">
        <v>25</v>
      </c>
      <c r="O52" s="1"/>
      <c r="P52" s="5">
        <v>3</v>
      </c>
      <c r="Q52" s="13">
        <v>6570</v>
      </c>
      <c r="R52" s="33">
        <f>+K52</f>
        <v>68.069999999999993</v>
      </c>
      <c r="S52" s="32"/>
    </row>
    <row r="53" spans="1:23" x14ac:dyDescent="0.25">
      <c r="A53" s="34" t="s">
        <v>60</v>
      </c>
      <c r="B53" s="108">
        <f>SUM(B51:B52)</f>
        <v>1781.56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10">
        <v>1115.6099999999999</v>
      </c>
      <c r="C55" s="111"/>
      <c r="D55" s="4">
        <v>6571</v>
      </c>
      <c r="F55" s="90">
        <v>98.56</v>
      </c>
      <c r="G55" s="90">
        <v>32.51</v>
      </c>
      <c r="H55" s="37">
        <f>B55-F55-G55</f>
        <v>984.54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42">
        <v>114.05</v>
      </c>
      <c r="C56" s="111"/>
      <c r="D56" s="4">
        <v>6571</v>
      </c>
      <c r="F56" s="93"/>
      <c r="G56" s="93"/>
      <c r="H56" s="37">
        <f>B56-F56-G56</f>
        <v>114.05</v>
      </c>
      <c r="I56" s="12"/>
      <c r="J56" s="13"/>
      <c r="K56" s="86">
        <f>SUM(K43:K55)</f>
        <v>3933.44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1677.654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680.65</v>
      </c>
      <c r="C58" s="111"/>
      <c r="D58" s="4">
        <v>6570</v>
      </c>
      <c r="F58" s="88">
        <f>ROUND(B58*10%,2)</f>
        <v>68.069999999999993</v>
      </c>
      <c r="G58" s="88">
        <f>ROUND(B58*30%,2)</f>
        <v>204.2</v>
      </c>
      <c r="H58" s="37">
        <f>ROUND(B58-F58-G58,2)</f>
        <v>408.38</v>
      </c>
      <c r="I58" s="52">
        <v>1</v>
      </c>
      <c r="J58" s="10">
        <v>1012</v>
      </c>
      <c r="K58" s="113">
        <f>-(K23+K40+K56+K74+K84+K90)-K59</f>
        <v>-55231.590000000004</v>
      </c>
      <c r="M58" s="1"/>
      <c r="N58" s="32">
        <f>+'[11]1012-CNB Checking'!$F$113</f>
        <v>55231.59</v>
      </c>
      <c r="O58" s="114">
        <f>+K58+N58+K59</f>
        <v>-7.2759576141834259E-12</v>
      </c>
      <c r="P58" s="32"/>
      <c r="R58" s="33"/>
    </row>
    <row r="59" spans="1:23" ht="18.75" thickTop="1" x14ac:dyDescent="0.25">
      <c r="A59" s="34" t="s">
        <v>48</v>
      </c>
      <c r="B59" s="83">
        <f>B24</f>
        <v>465.81</v>
      </c>
      <c r="C59" s="27"/>
      <c r="F59" s="88">
        <f>F24</f>
        <v>0</v>
      </c>
      <c r="G59" s="88">
        <f>G24</f>
        <v>0</v>
      </c>
      <c r="H59" s="37">
        <f>B59-F59-G59</f>
        <v>465.81</v>
      </c>
      <c r="I59" s="52">
        <v>1</v>
      </c>
      <c r="J59" s="10">
        <v>1012</v>
      </c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132.69</v>
      </c>
      <c r="C60" s="27"/>
      <c r="F60" s="88">
        <f>F25</f>
        <v>0</v>
      </c>
      <c r="G60" s="88">
        <f>G25</f>
        <v>0</v>
      </c>
      <c r="H60" s="37">
        <f>B60-F60-G60</f>
        <v>132.69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4176.32</v>
      </c>
      <c r="C61" s="117"/>
      <c r="D61" s="7"/>
      <c r="E61" s="1"/>
      <c r="F61" s="71">
        <f>F51+F55</f>
        <v>271.03999999999996</v>
      </c>
      <c r="G61" s="71">
        <f>G51+G55</f>
        <v>658.78</v>
      </c>
      <c r="H61" s="118">
        <f>B61-G61</f>
        <v>3517.54</v>
      </c>
      <c r="I61" s="115">
        <v>1</v>
      </c>
      <c r="J61" s="119">
        <v>1831</v>
      </c>
      <c r="K61" s="120">
        <v>235</v>
      </c>
      <c r="M61" s="5" t="s">
        <v>42</v>
      </c>
      <c r="O61" s="121"/>
      <c r="P61" s="115"/>
      <c r="Q61" s="119"/>
      <c r="R61" s="16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>
        <f>549.55-K75</f>
        <v>144.82999999999993</v>
      </c>
      <c r="M62" s="5" t="s">
        <v>132</v>
      </c>
      <c r="O62" s="1"/>
      <c r="P62" s="115"/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O63" s="1"/>
      <c r="P63" s="85"/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/>
      <c r="R64" s="16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/>
      <c r="M65" s="5" t="s">
        <v>90</v>
      </c>
      <c r="O65" s="1"/>
      <c r="P65" s="85"/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2753.96-368.59</f>
        <v>2385.37</v>
      </c>
      <c r="M66" s="5" t="s">
        <v>133</v>
      </c>
      <c r="O66" s="1"/>
      <c r="P66" s="85"/>
      <c r="R66" s="16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/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>
        <f>508.06+1.85</f>
        <v>509.91</v>
      </c>
      <c r="C70" s="106"/>
      <c r="D70" s="28">
        <v>6300</v>
      </c>
      <c r="E70" s="29"/>
      <c r="F70" s="81">
        <f>B70*F69</f>
        <v>50.991000000000007</v>
      </c>
      <c r="G70" s="107">
        <f>B70*G69</f>
        <v>152.97300000000001</v>
      </c>
      <c r="H70" s="31">
        <f>B70*H69-0</f>
        <v>305.94600000000003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50.991000000000007</v>
      </c>
      <c r="G71" s="71">
        <f>G70</f>
        <v>152.97300000000001</v>
      </c>
      <c r="H71" s="118">
        <f>H70</f>
        <v>305.94600000000003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54721.68</v>
      </c>
      <c r="F74" s="6"/>
      <c r="I74" s="85" t="s">
        <v>97</v>
      </c>
      <c r="K74" s="129">
        <f>SUM(K61:K73)</f>
        <v>2765.2</v>
      </c>
      <c r="O74" s="1"/>
      <c r="R74" s="162"/>
    </row>
    <row r="75" spans="1:20" ht="18.75" thickBot="1" x14ac:dyDescent="0.3">
      <c r="F75" s="6"/>
      <c r="I75" s="85">
        <v>2</v>
      </c>
      <c r="J75" s="167">
        <v>6565</v>
      </c>
      <c r="K75" s="120">
        <v>404.72</v>
      </c>
      <c r="M75" s="5" t="s">
        <v>132</v>
      </c>
      <c r="O75" s="1"/>
      <c r="P75" s="85"/>
      <c r="Q75" s="119"/>
      <c r="R75" s="163"/>
      <c r="S75" s="32"/>
    </row>
    <row r="76" spans="1:20" x14ac:dyDescent="0.25">
      <c r="A76" s="129" t="s">
        <v>99</v>
      </c>
      <c r="B76" s="26">
        <v>37674.93</v>
      </c>
      <c r="C76" s="130"/>
      <c r="D76" s="131" t="s">
        <v>100</v>
      </c>
      <c r="E76" s="6"/>
      <c r="F76" s="6"/>
      <c r="G76" s="132">
        <v>37674.93</v>
      </c>
      <c r="H76" s="6"/>
      <c r="I76" s="85">
        <v>2</v>
      </c>
      <c r="J76" s="119">
        <v>1831</v>
      </c>
      <c r="K76" s="120">
        <v>85</v>
      </c>
      <c r="M76" s="5" t="s">
        <v>42</v>
      </c>
      <c r="O76" s="1"/>
      <c r="P76" s="85"/>
      <c r="Q76" s="119"/>
      <c r="R76" s="16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/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85"/>
      <c r="R78" s="163"/>
      <c r="S78" s="32"/>
    </row>
    <row r="79" spans="1:20" ht="18.75" thickBot="1" x14ac:dyDescent="0.3">
      <c r="A79" s="134" t="s">
        <v>104</v>
      </c>
      <c r="B79" s="135">
        <f>ROUND(SUM(B76:B78),2)</f>
        <v>37674.93</v>
      </c>
      <c r="C79" s="130"/>
      <c r="D79" s="131"/>
      <c r="E79" s="6"/>
      <c r="F79" s="6"/>
      <c r="G79" s="129">
        <f>SUM(G76:G78)</f>
        <v>37674.93</v>
      </c>
      <c r="H79" s="6" t="s">
        <v>105</v>
      </c>
      <c r="I79" s="85">
        <v>2</v>
      </c>
      <c r="J79" s="5">
        <v>6551</v>
      </c>
      <c r="K79" s="120">
        <v>368.59</v>
      </c>
      <c r="M79" s="5" t="s">
        <v>91</v>
      </c>
      <c r="O79" s="1"/>
      <c r="P79" s="85"/>
      <c r="R79" s="163"/>
      <c r="S79" s="32"/>
    </row>
    <row r="80" spans="1:20" ht="18.75" thickBot="1" x14ac:dyDescent="0.3">
      <c r="A80" s="1" t="s">
        <v>106</v>
      </c>
      <c r="B80" s="26">
        <v>54721.68</v>
      </c>
      <c r="H80" s="128" t="str">
        <f>IF(B79-G79=0,"ok","NO")</f>
        <v>ok</v>
      </c>
      <c r="I80" s="85">
        <v>2</v>
      </c>
      <c r="J80" s="5">
        <v>6040</v>
      </c>
      <c r="K80" s="120"/>
      <c r="M80" s="5" t="s">
        <v>131</v>
      </c>
      <c r="O80" s="1"/>
      <c r="P80" s="85"/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Q81" s="119"/>
      <c r="R81" s="163"/>
      <c r="S81" s="32"/>
    </row>
    <row r="82" spans="1:19" ht="18.75" thickBot="1" x14ac:dyDescent="0.3">
      <c r="B82" s="3">
        <f>+B80+B81</f>
        <v>54721.68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869.85</v>
      </c>
      <c r="O84" s="1"/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/>
      <c r="Q85" s="5"/>
      <c r="R85" s="164"/>
      <c r="S85" s="32"/>
    </row>
    <row r="86" spans="1:19" s="33" customFormat="1" x14ac:dyDescent="0.25">
      <c r="A86" s="5"/>
      <c r="B86" s="32">
        <f>+B83+O58</f>
        <v>-7.2759576141834259E-12</v>
      </c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/>
      <c r="Q86" s="5"/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132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/>
      <c r="B92" s="5"/>
      <c r="C92" s="5"/>
      <c r="D92" s="5"/>
      <c r="I92" s="85"/>
      <c r="K92" s="140">
        <f>+K74+K84+K90</f>
        <v>3635.0499999999997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38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30AA-1288-4495-989A-18CA1458D090}">
  <sheetPr>
    <tabColor rgb="FF00B050"/>
    <pageSetUpPr fitToPage="1"/>
  </sheetPr>
  <dimension ref="A2:Z99"/>
  <sheetViews>
    <sheetView topLeftCell="A10" zoomScale="70" zoomScaleNormal="70" zoomScalePageLayoutView="70" workbookViewId="0">
      <selection activeCell="Y30" sqref="Y30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5.375" style="3" bestFit="1" customWidth="1"/>
    <col min="4" max="4" width="11.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43783</v>
      </c>
      <c r="K2" s="9"/>
      <c r="M2" s="5" t="s">
        <v>1</v>
      </c>
    </row>
    <row r="3" spans="1:19" x14ac:dyDescent="0.25">
      <c r="A3" s="10" t="s">
        <v>2</v>
      </c>
      <c r="B3" s="8">
        <v>43777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0.4</v>
      </c>
    </row>
    <row r="7" spans="1:19" x14ac:dyDescent="0.25">
      <c r="A7" s="25" t="s">
        <v>14</v>
      </c>
      <c r="B7" s="26">
        <v>51998.14</v>
      </c>
      <c r="C7" s="27">
        <f>B7-F7-G7-H7</f>
        <v>0</v>
      </c>
      <c r="D7" s="28">
        <v>6500</v>
      </c>
      <c r="E7" s="29"/>
      <c r="F7" s="30">
        <v>3521.63</v>
      </c>
      <c r="G7" s="30">
        <v>17832.43</v>
      </c>
      <c r="H7" s="31">
        <f t="shared" ref="H7:H31" si="0">B7-F7-G7</f>
        <v>30644.080000000002</v>
      </c>
      <c r="I7" s="12">
        <v>1</v>
      </c>
      <c r="J7" s="13">
        <v>6500</v>
      </c>
      <c r="K7" s="32">
        <f>H7+H31-H29</f>
        <v>30279.88</v>
      </c>
      <c r="M7" s="5" t="s">
        <v>15</v>
      </c>
      <c r="P7" s="5">
        <v>1</v>
      </c>
      <c r="Q7" s="13">
        <v>6500</v>
      </c>
      <c r="R7" s="33">
        <f>+K7*$R$6</f>
        <v>12111.952000000001</v>
      </c>
      <c r="S7" s="32"/>
    </row>
    <row r="8" spans="1:19" x14ac:dyDescent="0.25">
      <c r="A8" s="34" t="s">
        <v>16</v>
      </c>
      <c r="B8" s="35"/>
      <c r="C8" s="27"/>
      <c r="D8" s="4">
        <v>6505</v>
      </c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D9" s="4">
        <v>6510</v>
      </c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946.29</v>
      </c>
      <c r="C10" s="27"/>
      <c r="D10" s="4">
        <v>6040</v>
      </c>
      <c r="F10" s="35"/>
      <c r="G10" s="35">
        <v>651.82000000000005</v>
      </c>
      <c r="H10" s="37">
        <f t="shared" si="0"/>
        <v>294.46999999999991</v>
      </c>
      <c r="I10" s="12">
        <v>1</v>
      </c>
      <c r="J10" s="13">
        <v>6580</v>
      </c>
      <c r="K10" s="32">
        <f>ROUND($H$42+$H$43+$H$44+$H$45-$H$15+$H$46,2)</f>
        <v>2643.25</v>
      </c>
      <c r="M10" s="39" t="s">
        <v>21</v>
      </c>
      <c r="P10" s="5">
        <v>1</v>
      </c>
      <c r="Q10" s="13">
        <v>6580</v>
      </c>
      <c r="R10" s="33">
        <f>+K10*$R$6</f>
        <v>1057.3</v>
      </c>
      <c r="S10" s="32"/>
    </row>
    <row r="11" spans="1:19" x14ac:dyDescent="0.25">
      <c r="A11" s="34" t="s">
        <v>22</v>
      </c>
      <c r="B11" s="40">
        <v>3111.7</v>
      </c>
      <c r="C11" s="27">
        <f t="shared" ref="C11:C30" si="1">B11-F11-G11-H11</f>
        <v>0</v>
      </c>
      <c r="D11" s="4">
        <v>2100</v>
      </c>
      <c r="F11" s="41"/>
      <c r="G11" s="41"/>
      <c r="H11" s="37">
        <f t="shared" si="0"/>
        <v>3111.7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727.75</v>
      </c>
      <c r="C12" s="27">
        <f t="shared" si="1"/>
        <v>0</v>
      </c>
      <c r="D12" s="4">
        <v>2100</v>
      </c>
      <c r="F12" s="41"/>
      <c r="G12" s="41"/>
      <c r="H12" s="37">
        <f t="shared" si="0"/>
        <v>727.75</v>
      </c>
      <c r="I12" s="12">
        <v>1</v>
      </c>
      <c r="J12" s="13">
        <v>6570</v>
      </c>
      <c r="K12" s="32">
        <f>-H23+H51+H58</f>
        <v>418.52</v>
      </c>
      <c r="M12" s="5" t="s">
        <v>25</v>
      </c>
      <c r="P12" s="5">
        <v>1</v>
      </c>
      <c r="Q12" s="13">
        <v>6570</v>
      </c>
      <c r="R12" s="33">
        <f>+K12*R6</f>
        <v>167.40800000000002</v>
      </c>
      <c r="S12" s="32"/>
    </row>
    <row r="13" spans="1:19" x14ac:dyDescent="0.25">
      <c r="A13" s="34" t="s">
        <v>26</v>
      </c>
      <c r="B13" s="42">
        <v>3781.73</v>
      </c>
      <c r="C13" s="27">
        <f t="shared" si="1"/>
        <v>0</v>
      </c>
      <c r="D13" s="4">
        <v>2110</v>
      </c>
      <c r="F13" s="41"/>
      <c r="G13" s="41"/>
      <c r="H13" s="37">
        <f t="shared" si="0"/>
        <v>3781.73</v>
      </c>
      <c r="I13" s="12">
        <v>1</v>
      </c>
      <c r="J13" s="13">
        <v>6571</v>
      </c>
      <c r="K13" s="32">
        <f>ROUND(H55,2)</f>
        <v>1007.71</v>
      </c>
      <c r="M13" s="43" t="s">
        <v>27</v>
      </c>
      <c r="P13" s="5">
        <v>1</v>
      </c>
      <c r="Q13" s="13">
        <v>6571</v>
      </c>
      <c r="R13" s="33">
        <f>+K13*$R$6</f>
        <v>403.08400000000006</v>
      </c>
      <c r="S13" s="32"/>
    </row>
    <row r="14" spans="1:19" x14ac:dyDescent="0.25">
      <c r="A14" s="34" t="s">
        <v>28</v>
      </c>
      <c r="B14" s="42">
        <v>2024.9</v>
      </c>
      <c r="C14" s="27">
        <f t="shared" si="1"/>
        <v>0</v>
      </c>
      <c r="D14" s="4">
        <v>2120</v>
      </c>
      <c r="F14" s="41"/>
      <c r="G14" s="41"/>
      <c r="H14" s="37">
        <f t="shared" si="0"/>
        <v>2024.9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26.4</v>
      </c>
      <c r="C15" s="27">
        <f t="shared" si="1"/>
        <v>0</v>
      </c>
      <c r="D15" s="4">
        <v>6580</v>
      </c>
      <c r="F15" s="44">
        <v>1.2</v>
      </c>
      <c r="G15" s="44">
        <v>8.4</v>
      </c>
      <c r="H15" s="37">
        <f t="shared" si="0"/>
        <v>16.799999999999997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/>
    </row>
    <row r="16" spans="1:19" ht="18.75" thickBot="1" x14ac:dyDescent="0.3">
      <c r="A16" s="34" t="s">
        <v>33</v>
      </c>
      <c r="B16" s="51">
        <v>51.94</v>
      </c>
      <c r="C16" s="27">
        <f t="shared" si="1"/>
        <v>0</v>
      </c>
      <c r="D16" s="7">
        <v>2120</v>
      </c>
      <c r="F16" s="44">
        <v>3.77</v>
      </c>
      <c r="G16" s="44">
        <v>9.7100000000000009</v>
      </c>
      <c r="H16" s="37">
        <f t="shared" si="0"/>
        <v>38.459999999999994</v>
      </c>
      <c r="I16" s="52">
        <v>1</v>
      </c>
      <c r="J16" s="10">
        <v>2120</v>
      </c>
      <c r="K16" s="21">
        <f>-H16</f>
        <v>-38.459999999999994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-15.383999999999999</v>
      </c>
      <c r="S16" s="32"/>
    </row>
    <row r="17" spans="1:26" x14ac:dyDescent="0.25">
      <c r="A17" s="34" t="s">
        <v>35</v>
      </c>
      <c r="B17" s="40">
        <v>14.64</v>
      </c>
      <c r="C17" s="27">
        <f t="shared" si="1"/>
        <v>0</v>
      </c>
      <c r="D17" s="54">
        <v>1830</v>
      </c>
      <c r="F17" s="41"/>
      <c r="G17" s="55"/>
      <c r="H17" s="37">
        <f t="shared" si="0"/>
        <v>14.64</v>
      </c>
      <c r="I17" s="12">
        <v>1</v>
      </c>
      <c r="J17" s="13">
        <v>1830</v>
      </c>
      <c r="K17" s="56">
        <f>ROUND(-H20-H27-H17-H18-H21-H26-H28,2)</f>
        <v>-948.47</v>
      </c>
      <c r="M17" s="5" t="s">
        <v>36</v>
      </c>
      <c r="P17" s="5">
        <v>1</v>
      </c>
      <c r="Q17" s="13">
        <v>1830</v>
      </c>
      <c r="R17" s="33">
        <f>+K17*$R$6</f>
        <v>-379.38800000000003</v>
      </c>
      <c r="S17" s="32"/>
    </row>
    <row r="18" spans="1:26" x14ac:dyDescent="0.25">
      <c r="A18" s="34" t="s">
        <v>37</v>
      </c>
      <c r="B18" s="42">
        <v>87.96</v>
      </c>
      <c r="C18" s="27">
        <f t="shared" si="1"/>
        <v>0</v>
      </c>
      <c r="D18" s="54">
        <v>1830</v>
      </c>
      <c r="F18" s="41"/>
      <c r="G18" s="44">
        <v>59.88</v>
      </c>
      <c r="H18" s="37">
        <f t="shared" si="0"/>
        <v>28.079999999999991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42"/>
      <c r="C19" s="27">
        <f t="shared" si="1"/>
        <v>0</v>
      </c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305.95</v>
      </c>
      <c r="M19" s="5" t="s">
        <v>40</v>
      </c>
      <c r="P19" s="5">
        <v>1</v>
      </c>
      <c r="Q19" s="13">
        <v>6300</v>
      </c>
      <c r="R19" s="33">
        <f>+K19*$R$6</f>
        <v>122.38</v>
      </c>
      <c r="S19" s="32"/>
    </row>
    <row r="20" spans="1:26" x14ac:dyDescent="0.25">
      <c r="A20" s="34" t="s">
        <v>41</v>
      </c>
      <c r="B20" s="42">
        <v>1463.39</v>
      </c>
      <c r="C20" s="27">
        <f t="shared" si="1"/>
        <v>0</v>
      </c>
      <c r="D20" s="4">
        <v>1830</v>
      </c>
      <c r="F20" s="41"/>
      <c r="G20" s="44">
        <v>809.87</v>
      </c>
      <c r="H20" s="37">
        <f t="shared" si="0"/>
        <v>653.5200000000001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42">
        <v>150</v>
      </c>
      <c r="C21" s="27">
        <f t="shared" si="1"/>
        <v>0</v>
      </c>
      <c r="D21" s="54">
        <v>1830</v>
      </c>
      <c r="F21" s="41"/>
      <c r="G21" s="44">
        <v>126</v>
      </c>
      <c r="H21" s="37">
        <f t="shared" si="0"/>
        <v>24</v>
      </c>
      <c r="I21" s="12">
        <v>1</v>
      </c>
      <c r="J21" s="13">
        <v>6630</v>
      </c>
      <c r="K21" s="32"/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42"/>
      <c r="C22" s="27">
        <f t="shared" si="1"/>
        <v>0</v>
      </c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42">
        <v>1823.82</v>
      </c>
      <c r="C23" s="27">
        <f t="shared" si="1"/>
        <v>0</v>
      </c>
      <c r="D23" s="4">
        <v>6570</v>
      </c>
      <c r="F23" s="44">
        <v>172.48</v>
      </c>
      <c r="G23" s="44">
        <v>623.26</v>
      </c>
      <c r="H23" s="37">
        <f t="shared" si="0"/>
        <v>1028.08</v>
      </c>
      <c r="I23" s="12"/>
      <c r="J23" s="13"/>
      <c r="K23" s="59">
        <f>SUM(K7:K22)</f>
        <v>33668.379999999997</v>
      </c>
      <c r="N23" s="1">
        <v>2040</v>
      </c>
      <c r="P23" s="5">
        <v>1</v>
      </c>
      <c r="Q23" s="13">
        <v>2040</v>
      </c>
      <c r="R23" s="60">
        <f>SUM(R7:R22)</f>
        <v>13467.351999999999</v>
      </c>
      <c r="S23" s="6"/>
      <c r="V23" s="32"/>
    </row>
    <row r="24" spans="1:26" ht="18.75" thickTop="1" x14ac:dyDescent="0.25">
      <c r="A24" s="34" t="s">
        <v>48</v>
      </c>
      <c r="B24" s="42">
        <v>465.81</v>
      </c>
      <c r="C24" s="27">
        <f t="shared" si="1"/>
        <v>0</v>
      </c>
      <c r="F24" s="41"/>
      <c r="G24" s="44"/>
      <c r="H24" s="37">
        <f t="shared" si="0"/>
        <v>465.81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42">
        <v>132.69</v>
      </c>
      <c r="C25" s="27">
        <f t="shared" si="1"/>
        <v>0</v>
      </c>
      <c r="F25" s="44">
        <v>132.69</v>
      </c>
      <c r="G25" s="44"/>
      <c r="H25" s="37">
        <f t="shared" si="0"/>
        <v>0</v>
      </c>
      <c r="I25" s="61">
        <v>2</v>
      </c>
      <c r="J25" s="62"/>
      <c r="K25" s="32"/>
      <c r="Q25" s="62"/>
      <c r="R25" s="33"/>
      <c r="V25" s="32"/>
    </row>
    <row r="26" spans="1:26" x14ac:dyDescent="0.25">
      <c r="A26" s="34" t="s">
        <v>50</v>
      </c>
      <c r="B26" s="42">
        <v>84.54</v>
      </c>
      <c r="C26" s="27">
        <f t="shared" si="1"/>
        <v>0</v>
      </c>
      <c r="D26" s="54">
        <v>1830</v>
      </c>
      <c r="F26" s="41"/>
      <c r="G26" s="55"/>
      <c r="H26" s="37">
        <f t="shared" si="0"/>
        <v>84.54</v>
      </c>
      <c r="I26" s="12">
        <v>2</v>
      </c>
      <c r="J26" s="13">
        <v>6500</v>
      </c>
      <c r="K26" s="32">
        <f>G7+G31-G29</f>
        <v>17650.330000000002</v>
      </c>
      <c r="M26" s="5" t="s">
        <v>51</v>
      </c>
      <c r="O26" s="32"/>
      <c r="P26" s="5">
        <v>2</v>
      </c>
      <c r="Q26" s="13">
        <v>6500</v>
      </c>
      <c r="R26" s="33">
        <f>+K26*R6</f>
        <v>7060.1320000000014</v>
      </c>
      <c r="S26" s="32"/>
      <c r="X26" s="32"/>
    </row>
    <row r="27" spans="1:26" x14ac:dyDescent="0.25">
      <c r="A27" s="34" t="s">
        <v>52</v>
      </c>
      <c r="B27" s="42">
        <v>114.66</v>
      </c>
      <c r="C27" s="63">
        <f t="shared" si="1"/>
        <v>0</v>
      </c>
      <c r="F27" s="41"/>
      <c r="G27" s="55"/>
      <c r="H27" s="37">
        <f t="shared" si="0"/>
        <v>114.66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51">
        <v>58.15</v>
      </c>
      <c r="C28" s="27">
        <f t="shared" si="1"/>
        <v>0</v>
      </c>
      <c r="D28" s="54">
        <v>1830</v>
      </c>
      <c r="F28" s="44">
        <v>10.75</v>
      </c>
      <c r="G28" s="44">
        <v>18.37</v>
      </c>
      <c r="H28" s="37">
        <f t="shared" si="0"/>
        <v>29.029999999999998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168">
        <v>607</v>
      </c>
      <c r="C29" s="65">
        <f t="shared" si="1"/>
        <v>0</v>
      </c>
      <c r="D29" s="172">
        <v>6500</v>
      </c>
      <c r="F29" s="66">
        <f>+B29*0.1</f>
        <v>60.7</v>
      </c>
      <c r="G29" s="67">
        <f>+B29*0.3</f>
        <v>182.1</v>
      </c>
      <c r="H29" s="37">
        <f t="shared" si="0"/>
        <v>364.19999999999993</v>
      </c>
      <c r="I29" s="12">
        <v>2</v>
      </c>
      <c r="J29" s="13">
        <v>6580</v>
      </c>
      <c r="K29" s="32">
        <f>ROUND($G$42+$G$43+$G$44+$G$45-$G$15+$G$46,2)</f>
        <v>1081.76</v>
      </c>
      <c r="M29" s="39" t="s">
        <v>21</v>
      </c>
      <c r="P29" s="5">
        <v>2</v>
      </c>
      <c r="Q29" s="13">
        <v>6580</v>
      </c>
      <c r="R29" s="33">
        <f>+K29*R6</f>
        <v>432.70400000000001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209.27</v>
      </c>
      <c r="M31" s="5" t="s">
        <v>25</v>
      </c>
      <c r="P31" s="5">
        <v>2</v>
      </c>
      <c r="Q31" s="13">
        <v>6570</v>
      </c>
      <c r="R31" s="33">
        <f>+K31*$R$6</f>
        <v>83.708000000000013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B7+B8+B10-B11-B12-B13-B14-B15-B16-B19-B29-B20-B26-B25-B28-B17-B21-B18-B23-B22-B24+B30+B31-B27+B9</f>
        <v>38217.349999999991</v>
      </c>
      <c r="C32" s="72">
        <f>B32-F32-G32-H32</f>
        <v>-114.66000000001441</v>
      </c>
      <c r="D32" s="71"/>
      <c r="E32" s="71"/>
      <c r="F32" s="71">
        <f>F7+F8+F10-F11-F12-F13-F14-F15-F16-F19-F29-F20-F26-F25-F28-F17-F21-F18-F23-F22-F24+F30+F31-F27+F9</f>
        <v>3140.0400000000004</v>
      </c>
      <c r="G32" s="71">
        <f>G7+G8+G10-G11-G12-G13-G14-G15-G16-G19-G29-G20-G26-G25-G28-G17-G21-G18-G23-G22-G24+G30+G31-G27+G9</f>
        <v>16646.660000000003</v>
      </c>
      <c r="H32" s="71">
        <f>H7+H8+H10-H11-H12-H13-H14-H15-H16-H19-H29-H20-H26-H25-H28-H17-H21-H18-H23-H22-H24+H30+H31</f>
        <v>18545.310000000001</v>
      </c>
      <c r="I32" s="12">
        <v>2</v>
      </c>
      <c r="J32" s="13">
        <v>6571</v>
      </c>
      <c r="K32" s="32">
        <f>G55</f>
        <v>31.01</v>
      </c>
      <c r="M32" s="43" t="s">
        <v>27</v>
      </c>
      <c r="P32" s="5">
        <v>2</v>
      </c>
      <c r="Q32" s="13">
        <v>6571</v>
      </c>
      <c r="R32" s="33">
        <f>+K32*$R$6</f>
        <v>12.404000000000002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/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-9.7100000000000009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-3.8840000000000003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ROUND(-G17-G18-G20-G21-G26-G28,2)</f>
        <v>-1014.12</v>
      </c>
      <c r="M36" s="5" t="s">
        <v>36</v>
      </c>
      <c r="O36" s="1"/>
      <c r="P36" s="5">
        <v>2</v>
      </c>
      <c r="Q36" s="13">
        <v>1830</v>
      </c>
      <c r="R36" s="33">
        <f>+K36*$R$6</f>
        <v>-405.64800000000002</v>
      </c>
      <c r="S36" s="32"/>
    </row>
    <row r="37" spans="1:22" x14ac:dyDescent="0.25">
      <c r="A37" s="25" t="s">
        <v>66</v>
      </c>
      <c r="B37" s="80">
        <f>B11</f>
        <v>3111.7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3111.7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727.75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727.75</v>
      </c>
      <c r="I38" s="12">
        <v>2</v>
      </c>
      <c r="J38" s="13">
        <v>6300</v>
      </c>
      <c r="K38" s="84">
        <f>ROUND(G70,2)</f>
        <v>152.97</v>
      </c>
      <c r="M38" s="5" t="s">
        <v>40</v>
      </c>
      <c r="O38" s="1"/>
      <c r="P38" s="5">
        <v>2</v>
      </c>
      <c r="Q38" s="13">
        <v>6300</v>
      </c>
      <c r="R38" s="33">
        <f>+K38*$R$6</f>
        <v>61.188000000000002</v>
      </c>
      <c r="S38" s="32"/>
    </row>
    <row r="39" spans="1:22" x14ac:dyDescent="0.25">
      <c r="A39" s="34" t="s">
        <v>68</v>
      </c>
      <c r="B39" s="83">
        <f>B13</f>
        <v>3781.73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3781.73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2024.9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2024.9</v>
      </c>
      <c r="I40" s="85"/>
      <c r="J40" s="5">
        <v>2040</v>
      </c>
      <c r="K40" s="86">
        <f>SUM(K26:K39)</f>
        <v>18101.510000000002</v>
      </c>
      <c r="N40" s="1">
        <v>2040</v>
      </c>
      <c r="O40" s="1"/>
      <c r="P40" s="5">
        <v>2</v>
      </c>
      <c r="Q40" s="5">
        <v>2040</v>
      </c>
      <c r="R40" s="86">
        <f>SUM(R26:R39)</f>
        <v>7240.6040000000012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3111.69</v>
      </c>
      <c r="C42" s="27">
        <f>B42-F42-G42-H42</f>
        <v>0</v>
      </c>
      <c r="D42" s="4">
        <v>6580</v>
      </c>
      <c r="F42" s="90">
        <v>146.44999999999999</v>
      </c>
      <c r="G42" s="90">
        <v>855.63</v>
      </c>
      <c r="H42" s="37">
        <f>B42-F42-G42</f>
        <v>2109.61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727.74</v>
      </c>
      <c r="C43" s="27">
        <f>B43-F43-G43-H43</f>
        <v>0</v>
      </c>
      <c r="D43" s="4">
        <v>6580</v>
      </c>
      <c r="F43" s="90">
        <v>34.25</v>
      </c>
      <c r="G43" s="90">
        <v>200.11</v>
      </c>
      <c r="H43" s="37">
        <f>B43-F43-G43</f>
        <v>493.38</v>
      </c>
      <c r="I43" s="12">
        <v>3</v>
      </c>
      <c r="J43" s="13">
        <v>6500</v>
      </c>
      <c r="K43" s="92">
        <f>F7+F31-F29</f>
        <v>3460.9300000000003</v>
      </c>
      <c r="M43" s="5" t="s">
        <v>71</v>
      </c>
      <c r="O43" s="1"/>
      <c r="P43" s="5">
        <v>3</v>
      </c>
      <c r="Q43" s="13">
        <v>6500</v>
      </c>
      <c r="R43" s="33">
        <f>+K43*$R$6</f>
        <v>1384.3720000000003</v>
      </c>
      <c r="S43" s="32"/>
    </row>
    <row r="44" spans="1:22" x14ac:dyDescent="0.25">
      <c r="A44" s="34" t="s">
        <v>72</v>
      </c>
      <c r="B44" s="89">
        <v>16.8</v>
      </c>
      <c r="C44" s="27">
        <f>B44-F44-G44-H44</f>
        <v>0</v>
      </c>
      <c r="D44" s="4">
        <v>6580</v>
      </c>
      <c r="F44" s="90"/>
      <c r="G44" s="91">
        <v>8.8800000000000008</v>
      </c>
      <c r="H44" s="37">
        <f>B44-G44-F44</f>
        <v>7.92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71.569999999999993</v>
      </c>
      <c r="C45" s="27">
        <f>B45-F45-G45-H45</f>
        <v>0</v>
      </c>
      <c r="D45" s="4">
        <v>6580</v>
      </c>
      <c r="F45" s="90"/>
      <c r="G45" s="94">
        <v>25.54</v>
      </c>
      <c r="H45" s="37">
        <f>B45-G45-F45</f>
        <v>46.029999999999994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3.11</v>
      </c>
      <c r="C46" s="27">
        <f>B46-F46-G46-H46</f>
        <v>0</v>
      </c>
      <c r="F46" s="96"/>
      <c r="G46" s="96"/>
      <c r="H46" s="37">
        <f>B46-G46-F46</f>
        <v>3.11</v>
      </c>
      <c r="I46" s="12">
        <v>3</v>
      </c>
      <c r="J46" s="13">
        <v>6580</v>
      </c>
      <c r="K46" s="32">
        <f>ROUND($F$42+$F$43+$F$44+$F$45-$F$15+$F$46,2)</f>
        <v>179.5</v>
      </c>
      <c r="M46" s="39" t="s">
        <v>21</v>
      </c>
      <c r="O46" s="1"/>
      <c r="P46" s="5">
        <v>3</v>
      </c>
      <c r="Q46" s="13">
        <v>6580</v>
      </c>
      <c r="R46" s="33">
        <f>+K46*$R$6</f>
        <v>71.8</v>
      </c>
      <c r="S46" s="32"/>
    </row>
    <row r="47" spans="1:22" ht="18.75" thickBot="1" x14ac:dyDescent="0.3">
      <c r="B47" s="97">
        <f>SUM(B42:B46)</f>
        <v>3930.9100000000008</v>
      </c>
      <c r="C47" s="27">
        <f>B48-F47-G47-H47</f>
        <v>0</v>
      </c>
      <c r="D47" s="7"/>
      <c r="E47" s="1"/>
      <c r="F47" s="97">
        <f>SUM(F37:F46)</f>
        <v>180.7</v>
      </c>
      <c r="G47" s="97">
        <f>SUM(G37:G46)</f>
        <v>1090.1600000000001</v>
      </c>
      <c r="H47" s="71">
        <f>SUM(H37:H46)</f>
        <v>12306.130000000001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13576.99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50.99</v>
      </c>
      <c r="M48" s="5" t="s">
        <v>40</v>
      </c>
      <c r="O48" s="1"/>
      <c r="P48" s="5">
        <v>3</v>
      </c>
      <c r="Q48" s="13">
        <v>6300</v>
      </c>
      <c r="R48" s="33">
        <f>+K48*$R$6</f>
        <v>20.396000000000001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-3.77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-1.508</v>
      </c>
      <c r="S50" s="32"/>
    </row>
    <row r="51" spans="1:23" x14ac:dyDescent="0.25">
      <c r="A51" s="25" t="s">
        <v>78</v>
      </c>
      <c r="B51" s="80">
        <f>B23</f>
        <v>1823.82</v>
      </c>
      <c r="C51" s="106"/>
      <c r="D51" s="28">
        <v>6570</v>
      </c>
      <c r="E51" s="29"/>
      <c r="F51" s="81">
        <f>F23</f>
        <v>172.48</v>
      </c>
      <c r="G51" s="107">
        <f>G23</f>
        <v>623.26</v>
      </c>
      <c r="H51" s="31">
        <f>B51-G51-F51</f>
        <v>1028.08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69.760000000000005</v>
      </c>
      <c r="M52" s="5" t="s">
        <v>25</v>
      </c>
      <c r="O52" s="1"/>
      <c r="P52" s="5">
        <v>3</v>
      </c>
      <c r="Q52" s="13">
        <v>6570</v>
      </c>
      <c r="R52" s="33">
        <f>+K52</f>
        <v>69.760000000000005</v>
      </c>
      <c r="S52" s="32"/>
    </row>
    <row r="53" spans="1:23" x14ac:dyDescent="0.25">
      <c r="A53" s="34" t="s">
        <v>60</v>
      </c>
      <c r="B53" s="108">
        <f>SUM(B51:B52)</f>
        <v>1823.82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70">
        <v>1137.28</v>
      </c>
      <c r="C55" s="111"/>
      <c r="D55" s="4">
        <v>6571</v>
      </c>
      <c r="F55" s="90">
        <v>98.56</v>
      </c>
      <c r="G55" s="90">
        <v>31.01</v>
      </c>
      <c r="H55" s="37">
        <f>B55-F55-G55</f>
        <v>1007.71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71">
        <v>114.05</v>
      </c>
      <c r="C56" s="111"/>
      <c r="D56" s="4">
        <v>6571</v>
      </c>
      <c r="F56" s="93"/>
      <c r="G56" s="93"/>
      <c r="H56" s="37">
        <f>B56-F56-G56</f>
        <v>114.05</v>
      </c>
      <c r="I56" s="12"/>
      <c r="J56" s="13"/>
      <c r="K56" s="86">
        <f>SUM(K43:K55)</f>
        <v>3845.2200000000003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1643.38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697.55</v>
      </c>
      <c r="C58" s="111"/>
      <c r="D58" s="4">
        <v>6570</v>
      </c>
      <c r="F58" s="88">
        <f>ROUND(B58*10%,2)</f>
        <v>69.760000000000005</v>
      </c>
      <c r="G58" s="88">
        <f>ROUND(B58*30%,2)</f>
        <v>209.27</v>
      </c>
      <c r="H58" s="37">
        <f>ROUND(B58-F58-G58,2)</f>
        <v>418.52</v>
      </c>
      <c r="I58" s="52">
        <v>1</v>
      </c>
      <c r="J58" s="10">
        <v>1012</v>
      </c>
      <c r="K58" s="113">
        <f>-(K23+K40+K56+K74+K84+K90)-K59</f>
        <v>-56561.4</v>
      </c>
      <c r="M58" s="1"/>
      <c r="N58" s="32">
        <f>+'[12]1012-CNB Checking'!$F$47</f>
        <v>56561.4</v>
      </c>
      <c r="O58" s="114">
        <f>+K58+N58+K59</f>
        <v>0</v>
      </c>
      <c r="P58" s="32"/>
      <c r="R58" s="33"/>
    </row>
    <row r="59" spans="1:23" ht="18.75" thickTop="1" x14ac:dyDescent="0.25">
      <c r="A59" s="34" t="s">
        <v>48</v>
      </c>
      <c r="B59" s="83">
        <f>B24</f>
        <v>465.81</v>
      </c>
      <c r="C59" s="27"/>
      <c r="F59" s="88">
        <f>F24</f>
        <v>0</v>
      </c>
      <c r="G59" s="88">
        <f>G24</f>
        <v>0</v>
      </c>
      <c r="H59" s="37">
        <f>B59-F59-G59</f>
        <v>465.81</v>
      </c>
      <c r="I59" s="52">
        <v>1</v>
      </c>
      <c r="J59" s="10">
        <v>1012</v>
      </c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132.69</v>
      </c>
      <c r="C60" s="27"/>
      <c r="F60" s="88">
        <f>F25</f>
        <v>132.69</v>
      </c>
      <c r="G60" s="88">
        <f>G25</f>
        <v>0</v>
      </c>
      <c r="H60" s="37">
        <f>B60-F60-G60</f>
        <v>0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4257.1500000000005</v>
      </c>
      <c r="C61" s="117"/>
      <c r="D61" s="7"/>
      <c r="E61" s="1"/>
      <c r="F61" s="71">
        <f>F51+F55</f>
        <v>271.03999999999996</v>
      </c>
      <c r="G61" s="71">
        <f>G51+G55</f>
        <v>654.27</v>
      </c>
      <c r="H61" s="118">
        <f>B61-G61</f>
        <v>3602.8800000000006</v>
      </c>
      <c r="I61" s="115">
        <v>1</v>
      </c>
      <c r="J61" s="119">
        <v>1831</v>
      </c>
      <c r="K61" s="120">
        <v>170</v>
      </c>
      <c r="M61" s="5" t="s">
        <v>42</v>
      </c>
      <c r="O61" s="121"/>
      <c r="P61" s="115"/>
      <c r="Q61" s="119"/>
      <c r="R61" s="16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/>
      <c r="M62" s="5" t="s">
        <v>132</v>
      </c>
      <c r="O62" s="1"/>
      <c r="P62" s="115"/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O63" s="1"/>
      <c r="P63" s="85"/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/>
      <c r="R64" s="16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/>
      <c r="M65" s="5" t="s">
        <v>90</v>
      </c>
      <c r="O65" s="1"/>
      <c r="P65" s="85"/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764.75-K79</f>
        <v>124.47000000000003</v>
      </c>
      <c r="M66" s="5" t="s">
        <v>133</v>
      </c>
      <c r="O66" s="1"/>
      <c r="P66" s="85"/>
      <c r="R66" s="16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/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>
        <f>508.06+1.85</f>
        <v>509.91</v>
      </c>
      <c r="C70" s="106"/>
      <c r="D70" s="28">
        <v>6300</v>
      </c>
      <c r="E70" s="29"/>
      <c r="F70" s="81">
        <f>B70*F69</f>
        <v>50.991000000000007</v>
      </c>
      <c r="G70" s="107">
        <f>B70*G69</f>
        <v>152.97300000000001</v>
      </c>
      <c r="H70" s="31">
        <f>B70*H69-0</f>
        <v>305.94600000000003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50.991000000000007</v>
      </c>
      <c r="G71" s="71">
        <f>G70</f>
        <v>152.97300000000001</v>
      </c>
      <c r="H71" s="118">
        <f>H70</f>
        <v>305.94600000000003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56051.49</v>
      </c>
      <c r="F74" s="6"/>
      <c r="I74" s="85" t="s">
        <v>97</v>
      </c>
      <c r="K74" s="129">
        <f>SUM(K61:K73)</f>
        <v>294.47000000000003</v>
      </c>
      <c r="O74" s="1"/>
      <c r="R74" s="162"/>
    </row>
    <row r="75" spans="1:20" ht="18.75" thickBot="1" x14ac:dyDescent="0.3">
      <c r="F75" s="6"/>
      <c r="I75" s="85">
        <v>2</v>
      </c>
      <c r="J75" s="167">
        <v>6565</v>
      </c>
      <c r="K75" s="120"/>
      <c r="M75" s="5" t="s">
        <v>132</v>
      </c>
      <c r="O75" s="1"/>
      <c r="P75" s="85"/>
      <c r="Q75" s="119"/>
      <c r="R75" s="163"/>
      <c r="S75" s="32"/>
    </row>
    <row r="76" spans="1:20" x14ac:dyDescent="0.25">
      <c r="A76" s="129" t="s">
        <v>99</v>
      </c>
      <c r="B76" s="26">
        <v>38103.300000000003</v>
      </c>
      <c r="C76" s="130"/>
      <c r="D76" s="131" t="s">
        <v>100</v>
      </c>
      <c r="E76" s="6"/>
      <c r="F76" s="6"/>
      <c r="G76" s="132">
        <v>38103.300000000003</v>
      </c>
      <c r="H76" s="6"/>
      <c r="I76" s="85">
        <v>2</v>
      </c>
      <c r="J76" s="119">
        <v>1831</v>
      </c>
      <c r="K76" s="120"/>
      <c r="M76" s="5" t="s">
        <v>42</v>
      </c>
      <c r="O76" s="1"/>
      <c r="P76" s="85"/>
      <c r="Q76" s="119"/>
      <c r="R76" s="16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/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85"/>
      <c r="R78" s="163"/>
      <c r="S78" s="32"/>
    </row>
    <row r="79" spans="1:20" ht="18.75" thickBot="1" x14ac:dyDescent="0.3">
      <c r="A79" s="134" t="s">
        <v>104</v>
      </c>
      <c r="B79" s="135">
        <f>ROUND(SUM(B76:B78),2)</f>
        <v>38103.300000000003</v>
      </c>
      <c r="C79" s="130"/>
      <c r="D79" s="131"/>
      <c r="E79" s="6"/>
      <c r="F79" s="6"/>
      <c r="G79" s="129">
        <f>SUM(G76:G78)</f>
        <v>38103.300000000003</v>
      </c>
      <c r="H79" s="6" t="s">
        <v>105</v>
      </c>
      <c r="I79" s="85">
        <v>2</v>
      </c>
      <c r="J79" s="5">
        <v>6551</v>
      </c>
      <c r="K79" s="120">
        <v>640.28</v>
      </c>
      <c r="M79" s="5" t="s">
        <v>91</v>
      </c>
      <c r="O79" s="1"/>
      <c r="P79" s="85"/>
      <c r="R79" s="163"/>
      <c r="S79" s="32"/>
    </row>
    <row r="80" spans="1:20" ht="18.75" thickBot="1" x14ac:dyDescent="0.3">
      <c r="A80" s="1" t="s">
        <v>106</v>
      </c>
      <c r="B80" s="26">
        <v>56051.49</v>
      </c>
      <c r="H80" s="128" t="str">
        <f>IF(B79-G79=0,"ok","NO")</f>
        <v>ok</v>
      </c>
      <c r="I80" s="85">
        <v>2</v>
      </c>
      <c r="J80" s="5">
        <v>6040</v>
      </c>
      <c r="K80" s="120"/>
      <c r="M80" s="5" t="s">
        <v>131</v>
      </c>
      <c r="O80" s="1"/>
      <c r="P80" s="85"/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Q81" s="119"/>
      <c r="R81" s="163"/>
      <c r="S81" s="32"/>
    </row>
    <row r="82" spans="1:19" ht="18.75" thickBot="1" x14ac:dyDescent="0.3">
      <c r="B82" s="3">
        <f>+B80+B81</f>
        <v>56051.49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651.81999999999994</v>
      </c>
      <c r="O84" s="1"/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/>
      <c r="Q85" s="5"/>
      <c r="R85" s="164"/>
      <c r="S85" s="32"/>
    </row>
    <row r="86" spans="1:19" s="33" customFormat="1" x14ac:dyDescent="0.25">
      <c r="A86" s="5"/>
      <c r="B86" s="32">
        <f>+B83+O58</f>
        <v>0</v>
      </c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/>
      <c r="Q86" s="5"/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132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>
        <v>3</v>
      </c>
      <c r="B92" s="5"/>
      <c r="C92" s="5"/>
      <c r="D92" s="5"/>
      <c r="I92" s="85"/>
      <c r="K92" s="140">
        <f>+K74+K84+K90</f>
        <v>946.29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6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62B8-A34E-47E5-BC8B-C719559D4A1F}">
  <sheetPr>
    <tabColor rgb="FF00B0F0"/>
    <pageSetUpPr fitToPage="1"/>
  </sheetPr>
  <dimension ref="A2:Y100"/>
  <sheetViews>
    <sheetView topLeftCell="A67" zoomScale="70" zoomScaleNormal="70" zoomScalePageLayoutView="70" workbookViewId="0">
      <selection activeCell="K22" sqref="K22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2.8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32" width="10.5" style="5"/>
    <col min="33" max="33" width="19.75" style="5" bestFit="1" customWidth="1"/>
    <col min="34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43791</v>
      </c>
      <c r="K2" s="9"/>
      <c r="M2" s="5" t="s">
        <v>1</v>
      </c>
    </row>
    <row r="3" spans="1:24" ht="18.75" thickBot="1" x14ac:dyDescent="0.3">
      <c r="A3" s="10" t="s">
        <v>2</v>
      </c>
      <c r="B3" s="8">
        <v>43769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B6" s="74"/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>
        <v>132</v>
      </c>
      <c r="C7" s="27"/>
      <c r="D7" s="28"/>
      <c r="E7" s="29"/>
      <c r="F7" s="30"/>
      <c r="G7" s="146"/>
      <c r="H7" s="37">
        <f t="shared" ref="H7:H32" si="0">B7-F7-G7</f>
        <v>132</v>
      </c>
      <c r="I7" s="12">
        <v>1</v>
      </c>
      <c r="J7" s="13">
        <v>6510</v>
      </c>
      <c r="K7" s="32">
        <f>+H7</f>
        <v>132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>
        <v>7039.89</v>
      </c>
      <c r="C8" s="27"/>
      <c r="F8" s="127"/>
      <c r="G8" s="127">
        <v>3412.41</v>
      </c>
      <c r="H8" s="37">
        <f t="shared" si="0"/>
        <v>3627.4800000000005</v>
      </c>
      <c r="I8" s="12">
        <v>1</v>
      </c>
      <c r="J8" s="13">
        <v>6505</v>
      </c>
      <c r="K8" s="32">
        <f>+H8</f>
        <v>3627.4800000000005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/>
      <c r="C9" s="27"/>
      <c r="D9" s="4">
        <v>6500</v>
      </c>
      <c r="F9" s="127"/>
      <c r="G9" s="36"/>
      <c r="H9" s="37">
        <f t="shared" si="0"/>
        <v>0</v>
      </c>
      <c r="I9" s="12">
        <v>1</v>
      </c>
      <c r="J9" s="13">
        <v>6500</v>
      </c>
      <c r="K9" s="32">
        <f>+H9</f>
        <v>0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27"/>
      <c r="F10" s="148"/>
      <c r="G10" s="148"/>
      <c r="H10" s="37">
        <f t="shared" si="0"/>
        <v>0</v>
      </c>
      <c r="I10" s="12">
        <v>1</v>
      </c>
      <c r="J10" s="13">
        <v>6580</v>
      </c>
      <c r="K10" s="32">
        <f>ROUND(H43+H44+H45+H46-H16+H47,2)</f>
        <v>284.86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27"/>
      <c r="F11" s="150"/>
      <c r="G11" s="150"/>
      <c r="H11" s="37">
        <f t="shared" si="0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444.64</v>
      </c>
      <c r="C12" s="27"/>
      <c r="F12" s="41"/>
      <c r="G12" s="41"/>
      <c r="H12" s="37">
        <f>B12-F12-G12</f>
        <v>444.64</v>
      </c>
      <c r="I12" s="12">
        <v>1</v>
      </c>
      <c r="J12" s="13">
        <v>6570</v>
      </c>
      <c r="K12" s="32">
        <f>-H24+H52+H59</f>
        <v>29.653798873100396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104</v>
      </c>
      <c r="C13" s="27"/>
      <c r="F13" s="41"/>
      <c r="G13" s="41"/>
      <c r="H13" s="37">
        <f t="shared" si="0"/>
        <v>104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>
        <v>62.01</v>
      </c>
      <c r="C14" s="27"/>
      <c r="F14" s="41"/>
      <c r="G14" s="41"/>
      <c r="H14" s="37">
        <f t="shared" si="0"/>
        <v>62.01</v>
      </c>
      <c r="I14" s="12">
        <v>1</v>
      </c>
      <c r="J14" s="13">
        <v>6571</v>
      </c>
      <c r="K14" s="32">
        <f>+H56</f>
        <v>147.01</v>
      </c>
      <c r="L14" s="145"/>
      <c r="M14" s="5" t="s">
        <v>61</v>
      </c>
      <c r="P14" s="1"/>
    </row>
    <row r="15" spans="1:24" x14ac:dyDescent="0.25">
      <c r="A15" s="34" t="s">
        <v>28</v>
      </c>
      <c r="B15" s="151">
        <v>76.92</v>
      </c>
      <c r="C15" s="27"/>
      <c r="F15" s="41"/>
      <c r="G15" s="41"/>
      <c r="H15" s="37">
        <f t="shared" si="0"/>
        <v>76.92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/>
      <c r="C16" s="27"/>
      <c r="F16" s="152"/>
      <c r="G16" s="44"/>
      <c r="H16" s="37">
        <f t="shared" si="0"/>
        <v>0</v>
      </c>
      <c r="I16" s="52">
        <v>1</v>
      </c>
      <c r="J16" s="10">
        <v>2120</v>
      </c>
      <c r="K16" s="21">
        <f>-H17</f>
        <v>-0.16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1">SUM(R7:R15)</f>
        <v>779.02</v>
      </c>
      <c r="S16" s="154">
        <f t="shared" si="1"/>
        <v>944.95</v>
      </c>
      <c r="T16" s="154">
        <f t="shared" si="1"/>
        <v>348.52</v>
      </c>
      <c r="U16" s="154">
        <f t="shared" si="1"/>
        <v>1512.56</v>
      </c>
      <c r="V16" s="154">
        <f t="shared" si="1"/>
        <v>670.31999999999994</v>
      </c>
      <c r="W16" s="154">
        <f t="shared" si="1"/>
        <v>4475.92</v>
      </c>
      <c r="X16" s="154">
        <f t="shared" si="1"/>
        <v>1797.86</v>
      </c>
    </row>
    <row r="17" spans="1:25" ht="19.5" thickTop="1" thickBot="1" x14ac:dyDescent="0.3">
      <c r="A17" s="34" t="s">
        <v>33</v>
      </c>
      <c r="B17" s="151">
        <v>0.22</v>
      </c>
      <c r="C17" s="27"/>
      <c r="F17" s="152"/>
      <c r="G17" s="44">
        <v>0.06</v>
      </c>
      <c r="H17" s="37">
        <f t="shared" si="0"/>
        <v>0.16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27"/>
      <c r="D18" s="54"/>
      <c r="E18" s="5"/>
      <c r="F18" s="41"/>
      <c r="G18" s="55"/>
      <c r="H18" s="37">
        <f t="shared" si="0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27"/>
      <c r="D19" s="54"/>
      <c r="E19" s="5"/>
      <c r="F19" s="41"/>
      <c r="G19" s="44"/>
      <c r="H19" s="37">
        <f t="shared" si="0"/>
        <v>0</v>
      </c>
      <c r="I19" s="12">
        <v>1</v>
      </c>
      <c r="J19" s="13">
        <v>6300</v>
      </c>
      <c r="K19" s="82">
        <f>ROUND(H72,2)</f>
        <v>16.13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27"/>
      <c r="D20" s="4"/>
      <c r="E20" s="5"/>
      <c r="F20" s="41"/>
      <c r="G20" s="55"/>
      <c r="H20" s="37">
        <f t="shared" si="0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27"/>
      <c r="D21" s="4"/>
      <c r="E21" s="5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27"/>
      <c r="D22" s="54"/>
      <c r="E22" s="5"/>
      <c r="F22" s="41"/>
      <c r="G22" s="44"/>
      <c r="H22" s="37">
        <f t="shared" si="0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27"/>
      <c r="D23" s="4"/>
      <c r="E23" s="5"/>
      <c r="F23" s="41"/>
      <c r="G23" s="55"/>
      <c r="H23" s="37">
        <f t="shared" si="0"/>
        <v>0</v>
      </c>
      <c r="I23" s="12"/>
      <c r="J23" s="13"/>
      <c r="K23" s="59">
        <f>SUM(K7:K22)</f>
        <v>4236.9737988731013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>
        <v>411.9</v>
      </c>
      <c r="C24" s="27"/>
      <c r="D24" s="4"/>
      <c r="E24" s="5"/>
      <c r="F24" s="152"/>
      <c r="G24" s="44">
        <v>245.54</v>
      </c>
      <c r="H24" s="37">
        <f t="shared" si="0"/>
        <v>166.35999999999999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27"/>
      <c r="D25" s="4"/>
      <c r="E25" s="5"/>
      <c r="F25" s="41"/>
      <c r="G25" s="44"/>
      <c r="H25" s="37">
        <f t="shared" si="0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27"/>
      <c r="D26" s="4"/>
      <c r="E26" s="5"/>
      <c r="F26" s="44"/>
      <c r="G26" s="44"/>
      <c r="H26" s="37">
        <f t="shared" si="0"/>
        <v>0</v>
      </c>
      <c r="I26" s="12">
        <v>2</v>
      </c>
      <c r="J26" s="13">
        <v>6510</v>
      </c>
      <c r="K26" s="32">
        <f>+G7</f>
        <v>0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27"/>
      <c r="D27" s="54"/>
      <c r="E27" s="5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3412.41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63"/>
      <c r="D28" s="4"/>
      <c r="E28" s="5"/>
      <c r="F28" s="41"/>
      <c r="G28" s="55"/>
      <c r="H28" s="37">
        <f t="shared" si="0"/>
        <v>0</v>
      </c>
      <c r="I28" s="12">
        <v>2</v>
      </c>
      <c r="J28" s="13">
        <v>6500</v>
      </c>
      <c r="K28" s="32">
        <f>+G9</f>
        <v>0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27"/>
      <c r="D29" s="54"/>
      <c r="E29" s="5"/>
      <c r="F29" s="41"/>
      <c r="G29" s="44"/>
      <c r="H29" s="37">
        <f t="shared" si="0"/>
        <v>0</v>
      </c>
      <c r="I29" s="12">
        <v>2</v>
      </c>
      <c r="J29" s="13">
        <v>6580</v>
      </c>
      <c r="K29" s="32">
        <f>-G16+G43+G44+G45+G46+G47</f>
        <v>263.8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65"/>
      <c r="D30" s="54"/>
      <c r="E30" s="5"/>
      <c r="F30" s="66"/>
      <c r="G30" s="67"/>
      <c r="H30" s="37">
        <f t="shared" si="0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27"/>
      <c r="D31" s="4"/>
      <c r="E31" s="5"/>
      <c r="F31" s="68"/>
      <c r="G31" s="67"/>
      <c r="H31" s="37">
        <f t="shared" si="0"/>
        <v>0</v>
      </c>
      <c r="I31" s="12">
        <v>2</v>
      </c>
      <c r="J31" s="13">
        <v>6570</v>
      </c>
      <c r="K31" s="32">
        <f>-G24+G52+G59</f>
        <v>26.916201126899601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27">
        <f t="shared" ref="C32" si="2">B32-F32-G32-H32</f>
        <v>0</v>
      </c>
      <c r="D32" s="4">
        <v>6500</v>
      </c>
      <c r="E32" s="5"/>
      <c r="F32" s="69"/>
      <c r="G32" s="70"/>
      <c r="H32" s="37">
        <f t="shared" si="0"/>
        <v>0</v>
      </c>
      <c r="I32" s="12">
        <v>2</v>
      </c>
      <c r="J32" s="13">
        <v>6571</v>
      </c>
      <c r="K32" s="32">
        <f>G56</f>
        <v>131.38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6072.2</v>
      </c>
      <c r="C33" s="72">
        <f>B33-F33-G33-H33</f>
        <v>-0.22000000000025466</v>
      </c>
      <c r="D33" s="71"/>
      <c r="E33" s="71"/>
      <c r="F33" s="71">
        <f>F7+F8+F10+F11-F12-F13-F14-F15-F16-F30-F21-F27-F26-F29-F18-F22-F19-F24-F23-F25+F31+F32</f>
        <v>0</v>
      </c>
      <c r="G33" s="71">
        <f>G7+G8+G10+G11-G12-G13-G14-G15-G16-G30-G21-G27-G26-G29-G18-G22-G19-G24-G23-G25+G31+G32</f>
        <v>3166.87</v>
      </c>
      <c r="H33" s="71">
        <f>H7+H8+H10+H11-H12-H13-H14-H15-H16-H30-H21-H27-H26-H29-H18-H22-H19-H24-H23-H25+H31+H32-H20-H28</f>
        <v>2905.55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-0.06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444.64</v>
      </c>
      <c r="C38" s="27">
        <f>B38-F38-G38-H38</f>
        <v>0</v>
      </c>
      <c r="D38" s="28">
        <v>2100</v>
      </c>
      <c r="E38" s="29"/>
      <c r="F38" s="81">
        <v>0</v>
      </c>
      <c r="G38" s="80">
        <v>0</v>
      </c>
      <c r="H38" s="31">
        <f>B38-G38-F38</f>
        <v>444.64</v>
      </c>
      <c r="I38" s="12">
        <v>2</v>
      </c>
      <c r="J38" s="13">
        <v>6300</v>
      </c>
      <c r="K38" s="84">
        <f>ROUND(G72,2)</f>
        <v>14.65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104</v>
      </c>
      <c r="C39" s="27">
        <f>B39-F39-G39-H39</f>
        <v>0</v>
      </c>
      <c r="D39" s="4">
        <v>2100</v>
      </c>
      <c r="E39" s="5"/>
      <c r="F39" s="6">
        <v>0</v>
      </c>
      <c r="G39" s="83">
        <v>0</v>
      </c>
      <c r="H39" s="37">
        <f>B39-G39-F39</f>
        <v>104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62.01</v>
      </c>
      <c r="C40" s="27">
        <f>B40-F40-G40-H40</f>
        <v>0</v>
      </c>
      <c r="D40" s="4">
        <v>2110</v>
      </c>
      <c r="E40" s="5"/>
      <c r="F40" s="6">
        <v>0</v>
      </c>
      <c r="G40" s="83">
        <v>0</v>
      </c>
      <c r="H40" s="37">
        <f>B40-G40-F40</f>
        <v>62.01</v>
      </c>
      <c r="I40" s="85"/>
      <c r="J40" s="5"/>
      <c r="K40" s="86">
        <f>SUM(K26:K39)</f>
        <v>3849.0962011268998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76.92</v>
      </c>
      <c r="C41" s="27">
        <f>B41-F41-G41-H41</f>
        <v>0</v>
      </c>
      <c r="D41" s="4">
        <v>2120</v>
      </c>
      <c r="E41" s="5"/>
      <c r="F41" s="6">
        <v>0</v>
      </c>
      <c r="G41" s="83">
        <v>0</v>
      </c>
      <c r="H41" s="37">
        <f>B41-G41-F41</f>
        <v>76.92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444.66</v>
      </c>
      <c r="C43" s="27">
        <f>B43-F43-G43-H43</f>
        <v>0</v>
      </c>
      <c r="D43" s="4">
        <v>6580</v>
      </c>
      <c r="E43" s="5"/>
      <c r="F43" s="152"/>
      <c r="G43" s="152">
        <v>213.8</v>
      </c>
      <c r="H43" s="37">
        <f>B43-F43-G43</f>
        <v>230.86</v>
      </c>
      <c r="I43" s="12">
        <v>3</v>
      </c>
      <c r="J43" s="13">
        <v>6510</v>
      </c>
      <c r="K43" s="92">
        <f>+F7</f>
        <v>0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104</v>
      </c>
      <c r="C44" s="27">
        <f>B44-F44-G44-H44</f>
        <v>0</v>
      </c>
      <c r="D44" s="4">
        <v>6580</v>
      </c>
      <c r="E44" s="5"/>
      <c r="F44" s="152"/>
      <c r="G44" s="152">
        <v>50</v>
      </c>
      <c r="H44" s="37">
        <f>B44-F44-G44</f>
        <v>54</v>
      </c>
      <c r="I44" s="12">
        <v>3</v>
      </c>
      <c r="J44" s="13">
        <v>6505</v>
      </c>
      <c r="K44" s="92">
        <f>+F8</f>
        <v>0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/>
      <c r="C45" s="27">
        <f>B45-F45-G45-H45</f>
        <v>0</v>
      </c>
      <c r="D45" s="4">
        <v>6580</v>
      </c>
      <c r="E45" s="5"/>
      <c r="F45" s="90"/>
      <c r="G45" s="91"/>
      <c r="H45" s="37">
        <f>B45-G45-F45</f>
        <v>0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/>
      <c r="C46" s="27">
        <f>B46-F46-G46-H46</f>
        <v>0</v>
      </c>
      <c r="D46" s="4">
        <v>6580</v>
      </c>
      <c r="E46" s="5"/>
      <c r="F46" s="93"/>
      <c r="G46" s="94"/>
      <c r="H46" s="37">
        <f>B46-G46-F46</f>
        <v>0</v>
      </c>
      <c r="I46" s="12">
        <v>3</v>
      </c>
      <c r="J46" s="13">
        <v>6580</v>
      </c>
      <c r="K46" s="92">
        <f>-F16+F43+F44+F45+F46+F47</f>
        <v>0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/>
      <c r="C47" s="27">
        <f>B47-F47-G47-H47</f>
        <v>0</v>
      </c>
      <c r="D47" s="4"/>
      <c r="E47" s="5"/>
      <c r="F47" s="95"/>
      <c r="G47" s="96"/>
      <c r="H47" s="37">
        <f>B47-G47-F47</f>
        <v>0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548.66000000000008</v>
      </c>
      <c r="C48" s="27">
        <f>B49-F48-G48-H48</f>
        <v>0</v>
      </c>
      <c r="D48" s="7"/>
      <c r="E48" s="1"/>
      <c r="F48" s="97">
        <f>SUM(F38:F47)</f>
        <v>0</v>
      </c>
      <c r="G48" s="97">
        <f>SUM(G38:G47)</f>
        <v>263.8</v>
      </c>
      <c r="H48" s="71">
        <f>SUM(H38:H47)</f>
        <v>972.43</v>
      </c>
      <c r="I48" s="12">
        <v>3</v>
      </c>
      <c r="J48" s="13">
        <v>6300</v>
      </c>
      <c r="K48" s="92">
        <f>ROUND(F72,2)</f>
        <v>0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5" s="33" customFormat="1" ht="19.5" thickTop="1" thickBot="1" x14ac:dyDescent="0.3">
      <c r="A49" s="34" t="s">
        <v>60</v>
      </c>
      <c r="B49" s="98">
        <f>SUM(B38:B47)</f>
        <v>1236.23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5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0</v>
      </c>
      <c r="L50" s="1"/>
      <c r="M50" s="1" t="s">
        <v>34</v>
      </c>
      <c r="N50" s="1"/>
      <c r="O50" s="1"/>
      <c r="P50" s="1"/>
    </row>
    <row r="51" spans="1:25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5" x14ac:dyDescent="0.25">
      <c r="A52" s="25" t="s">
        <v>78</v>
      </c>
      <c r="B52" s="80">
        <f>B24</f>
        <v>411.9</v>
      </c>
      <c r="C52" s="106"/>
      <c r="D52" s="28">
        <v>6570</v>
      </c>
      <c r="E52" s="29"/>
      <c r="F52" s="81">
        <f>F24</f>
        <v>0</v>
      </c>
      <c r="G52" s="107">
        <f>G24</f>
        <v>245.54</v>
      </c>
      <c r="H52" s="31">
        <f>B52-G52-F52</f>
        <v>166.35999999999999</v>
      </c>
      <c r="I52" s="12">
        <v>3</v>
      </c>
      <c r="J52" s="13">
        <v>6570</v>
      </c>
      <c r="K52" s="92">
        <f>F59</f>
        <v>0</v>
      </c>
      <c r="M52" s="5" t="s">
        <v>25</v>
      </c>
      <c r="O52" s="1"/>
      <c r="P52" s="1"/>
    </row>
    <row r="53" spans="1:25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0</v>
      </c>
      <c r="M53" s="5" t="s">
        <v>27</v>
      </c>
      <c r="O53" s="1"/>
      <c r="P53" s="1"/>
    </row>
    <row r="54" spans="1:25" x14ac:dyDescent="0.25">
      <c r="A54" s="34" t="s">
        <v>60</v>
      </c>
      <c r="B54" s="108">
        <f>SUM(B52:B53)</f>
        <v>411.9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5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5" ht="18.75" thickBot="1" x14ac:dyDescent="0.3">
      <c r="A56" s="34" t="s">
        <v>80</v>
      </c>
      <c r="B56" s="110">
        <v>278.39</v>
      </c>
      <c r="C56" s="111"/>
      <c r="D56" s="4">
        <v>6571</v>
      </c>
      <c r="F56" s="152"/>
      <c r="G56" s="44">
        <v>131.38</v>
      </c>
      <c r="H56" s="37">
        <f>B56-F56-G56</f>
        <v>147.01</v>
      </c>
      <c r="I56" s="12"/>
      <c r="J56" s="13"/>
      <c r="K56" s="86">
        <f>SUM(K43:K55)</f>
        <v>0</v>
      </c>
      <c r="L56" s="1"/>
      <c r="N56" s="1">
        <v>2040</v>
      </c>
      <c r="O56" s="1"/>
      <c r="P56" s="1"/>
      <c r="Q56" s="33">
        <f>+O58+K58</f>
        <v>0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5" ht="18.75" thickTop="1" x14ac:dyDescent="0.25">
      <c r="A57" s="34" t="s">
        <v>61</v>
      </c>
      <c r="B57" s="112">
        <v>65.41</v>
      </c>
      <c r="C57" s="111"/>
      <c r="D57" s="4">
        <v>6571</v>
      </c>
      <c r="F57" s="93"/>
      <c r="G57" s="157"/>
      <c r="H57" s="37">
        <f>B57-F57-G57</f>
        <v>65.41</v>
      </c>
      <c r="I57" s="12"/>
      <c r="J57" s="13"/>
      <c r="K57" s="32"/>
      <c r="M57" s="1" t="s">
        <v>83</v>
      </c>
      <c r="O57" s="1"/>
      <c r="P57" s="1"/>
    </row>
    <row r="58" spans="1:25" ht="18.75" thickBot="1" x14ac:dyDescent="0.3">
      <c r="A58" s="34" t="s">
        <v>82</v>
      </c>
      <c r="B58" s="83">
        <f>+B20</f>
        <v>0</v>
      </c>
      <c r="C58" s="111"/>
      <c r="F58" s="6"/>
      <c r="G58" s="88"/>
      <c r="H58" s="37">
        <f>B58-F58-G58</f>
        <v>0</v>
      </c>
      <c r="I58" s="52">
        <v>1</v>
      </c>
      <c r="J58" s="10">
        <v>1012</v>
      </c>
      <c r="K58" s="113">
        <f>-(K23+K40+K56+K76+K83+K88)-K59-K60</f>
        <v>-8086.0700000000015</v>
      </c>
      <c r="M58" s="1"/>
      <c r="O58" s="114">
        <f>+'[12]1012-CNB Checking'!$F$39</f>
        <v>8086.07</v>
      </c>
      <c r="P58" s="114"/>
      <c r="Y58" s="32">
        <f>+K58+O58</f>
        <v>0</v>
      </c>
    </row>
    <row r="59" spans="1:25" ht="18.75" thickTop="1" x14ac:dyDescent="0.25">
      <c r="A59" s="34" t="s">
        <v>25</v>
      </c>
      <c r="B59" s="110">
        <v>56.57</v>
      </c>
      <c r="C59" s="111"/>
      <c r="D59" s="4">
        <v>6570</v>
      </c>
      <c r="F59" s="160">
        <f>+B59*F65</f>
        <v>0</v>
      </c>
      <c r="G59" s="88">
        <f>+B59*G70</f>
        <v>26.916201126899601</v>
      </c>
      <c r="H59" s="37">
        <f>+B59*H65</f>
        <v>29.653798873100396</v>
      </c>
      <c r="I59" s="85">
        <v>1</v>
      </c>
      <c r="K59" s="21"/>
      <c r="O59" s="21"/>
      <c r="P59" s="1"/>
    </row>
    <row r="60" spans="1:25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85">
        <v>1</v>
      </c>
      <c r="K60" s="21"/>
      <c r="O60" s="21"/>
      <c r="P60" s="1"/>
    </row>
    <row r="61" spans="1:25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>B61-F61-G61</f>
        <v>0</v>
      </c>
      <c r="I61" s="85"/>
      <c r="K61" s="21"/>
      <c r="O61" s="21"/>
      <c r="P61" s="1"/>
    </row>
    <row r="62" spans="1:25" ht="18.75" thickBot="1" x14ac:dyDescent="0.3">
      <c r="A62" s="34" t="s">
        <v>60</v>
      </c>
      <c r="B62" s="116">
        <f>B54+B60+B61+B56+B59+B58</f>
        <v>746.86</v>
      </c>
      <c r="C62" s="117"/>
      <c r="D62" s="7"/>
      <c r="E62" s="1"/>
      <c r="F62" s="71">
        <f>F52+F56</f>
        <v>0</v>
      </c>
      <c r="G62" s="71">
        <f>G52+G56</f>
        <v>376.91999999999996</v>
      </c>
      <c r="H62" s="118">
        <f>B62-G62</f>
        <v>369.94000000000005</v>
      </c>
      <c r="I62" s="115" t="s">
        <v>85</v>
      </c>
      <c r="K62" s="32"/>
      <c r="O62" s="1"/>
      <c r="P62" s="1"/>
    </row>
    <row r="63" spans="1:25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5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f>+(F7+F8)/($B$7+$B$8)</f>
        <v>0</v>
      </c>
      <c r="G65" s="123">
        <f>+(G7+G8)/($B$7+$B$8)</f>
        <v>0.47580344929997526</v>
      </c>
      <c r="H65" s="123">
        <f>+(H7+H8)/($B$7+$B$8)</f>
        <v>0.52419655070002469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0</v>
      </c>
      <c r="G70" s="123">
        <f>G65</f>
        <v>0.47580344929997526</v>
      </c>
      <c r="H70" s="123">
        <f>H65</f>
        <v>0.52419655070002469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>
        <f>28.93+1.85</f>
        <v>30.78</v>
      </c>
      <c r="C71" s="106"/>
      <c r="D71" s="28">
        <v>6300</v>
      </c>
      <c r="E71" s="29"/>
      <c r="F71" s="81">
        <f>B71*F70</f>
        <v>0</v>
      </c>
      <c r="G71" s="107">
        <f>B71*G70</f>
        <v>14.645230169453239</v>
      </c>
      <c r="H71" s="31">
        <f>B71*H70-0</f>
        <v>16.134769830546759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30.78</v>
      </c>
      <c r="C72" s="117"/>
      <c r="D72" s="7"/>
      <c r="E72" s="1"/>
      <c r="F72" s="71">
        <f>F71</f>
        <v>0</v>
      </c>
      <c r="G72" s="71">
        <f>G71</f>
        <v>14.645230169453239</v>
      </c>
      <c r="H72" s="118">
        <f>H71</f>
        <v>16.134769830546759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8086.07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6006.79</v>
      </c>
      <c r="C77" s="130"/>
      <c r="D77" s="131" t="s">
        <v>100</v>
      </c>
      <c r="E77" s="6"/>
      <c r="F77" s="6"/>
      <c r="G77" s="132"/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6006.79</v>
      </c>
      <c r="C80" s="130"/>
      <c r="D80" s="131"/>
      <c r="E80" s="6"/>
      <c r="F80" s="6"/>
      <c r="G80" s="129">
        <f>SUM(G77:G79)</f>
        <v>0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8055.29</v>
      </c>
      <c r="C81" s="3"/>
      <c r="D81" s="4"/>
      <c r="E81" s="5"/>
      <c r="F81" s="5"/>
      <c r="G81" s="5"/>
      <c r="H81" s="128" t="str">
        <f>IF(B80-G80=0,"ok","NO")</f>
        <v>NO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30.78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8086.07</v>
      </c>
      <c r="C83" s="128" t="str">
        <f>IF(B75=B83,"ok","NO")</f>
        <v>ok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0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2B08-4727-45BA-9E2C-94DA63997CDE}">
  <sheetPr>
    <tabColor rgb="FF00B050"/>
    <pageSetUpPr fitToPage="1"/>
  </sheetPr>
  <dimension ref="A2:Z99"/>
  <sheetViews>
    <sheetView zoomScale="70" zoomScaleNormal="70" zoomScalePageLayoutView="70" workbookViewId="0">
      <selection activeCell="J44" sqref="J44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5.375" style="3" bestFit="1" customWidth="1"/>
    <col min="4" max="4" width="11.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customWidth="1"/>
    <col min="17" max="17" width="15.25" style="5" customWidth="1"/>
    <col min="18" max="18" width="18.125" style="5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43796</v>
      </c>
      <c r="K2" s="9"/>
      <c r="M2" s="5" t="s">
        <v>1</v>
      </c>
    </row>
    <row r="3" spans="1:19" x14ac:dyDescent="0.25">
      <c r="A3" s="10" t="s">
        <v>2</v>
      </c>
      <c r="B3" s="8">
        <v>43791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0.5</v>
      </c>
    </row>
    <row r="7" spans="1:19" x14ac:dyDescent="0.25">
      <c r="A7" s="25" t="s">
        <v>14</v>
      </c>
      <c r="B7" s="26">
        <v>46815.62</v>
      </c>
      <c r="C7" s="27"/>
      <c r="D7" s="28"/>
      <c r="E7" s="29"/>
      <c r="F7" s="30">
        <v>3521.63</v>
      </c>
      <c r="G7" s="30">
        <v>17051.38</v>
      </c>
      <c r="H7" s="31">
        <f t="shared" ref="H7:H31" si="0">B7-F7-G7</f>
        <v>26242.610000000004</v>
      </c>
      <c r="I7" s="12">
        <v>1</v>
      </c>
      <c r="J7" s="13">
        <v>6500</v>
      </c>
      <c r="K7" s="32">
        <f>H7+H31-H29</f>
        <v>26242.610000000004</v>
      </c>
      <c r="M7" s="5" t="s">
        <v>15</v>
      </c>
      <c r="P7" s="5">
        <v>1</v>
      </c>
      <c r="Q7" s="13">
        <v>6500</v>
      </c>
      <c r="R7" s="33">
        <f>+K7*$R$6</f>
        <v>13121.305000000002</v>
      </c>
      <c r="S7" s="32"/>
    </row>
    <row r="8" spans="1:19" x14ac:dyDescent="0.25">
      <c r="A8" s="34" t="s">
        <v>16</v>
      </c>
      <c r="B8" s="35"/>
      <c r="C8" s="27"/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2007.86</v>
      </c>
      <c r="C10" s="27"/>
      <c r="F10" s="35"/>
      <c r="G10" s="35">
        <v>1190.95</v>
      </c>
      <c r="H10" s="37">
        <f t="shared" si="0"/>
        <v>816.90999999999985</v>
      </c>
      <c r="I10" s="12">
        <v>1</v>
      </c>
      <c r="J10" s="13">
        <v>6580</v>
      </c>
      <c r="K10" s="32">
        <f>ROUND($H$42+$H$43+$H$44+$H$45-$H$15+$H$46,2)</f>
        <v>2307.89</v>
      </c>
      <c r="M10" s="39" t="s">
        <v>21</v>
      </c>
      <c r="P10" s="5">
        <v>1</v>
      </c>
      <c r="Q10" s="13">
        <v>6580</v>
      </c>
      <c r="R10" s="33">
        <f>+K10*$R$6</f>
        <v>1153.9449999999999</v>
      </c>
      <c r="S10" s="32"/>
    </row>
    <row r="11" spans="1:19" x14ac:dyDescent="0.25">
      <c r="A11" s="34" t="s">
        <v>22</v>
      </c>
      <c r="B11" s="40">
        <v>2790.33</v>
      </c>
      <c r="C11" s="27"/>
      <c r="F11" s="41"/>
      <c r="G11" s="41"/>
      <c r="H11" s="37">
        <f t="shared" si="0"/>
        <v>2790.33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652.57000000000005</v>
      </c>
      <c r="C12" s="27"/>
      <c r="F12" s="41"/>
      <c r="G12" s="41"/>
      <c r="H12" s="37">
        <f t="shared" si="0"/>
        <v>652.57000000000005</v>
      </c>
      <c r="I12" s="12">
        <v>1</v>
      </c>
      <c r="J12" s="13">
        <v>6570</v>
      </c>
      <c r="K12" s="32">
        <f>-H23+H51+H58</f>
        <v>396.06</v>
      </c>
      <c r="M12" s="5" t="s">
        <v>25</v>
      </c>
      <c r="P12" s="5">
        <v>1</v>
      </c>
      <c r="Q12" s="13">
        <v>6570</v>
      </c>
      <c r="R12" s="33">
        <f>+K12*R6</f>
        <v>198.03</v>
      </c>
      <c r="S12" s="32"/>
    </row>
    <row r="13" spans="1:19" x14ac:dyDescent="0.25">
      <c r="A13" s="34" t="s">
        <v>26</v>
      </c>
      <c r="B13" s="42">
        <v>3632.49</v>
      </c>
      <c r="C13" s="27"/>
      <c r="F13" s="41"/>
      <c r="G13" s="41"/>
      <c r="H13" s="37">
        <f t="shared" si="0"/>
        <v>3632.49</v>
      </c>
      <c r="I13" s="12">
        <v>1</v>
      </c>
      <c r="J13" s="13">
        <v>6571</v>
      </c>
      <c r="K13" s="32">
        <f>ROUND(H55,2)</f>
        <v>656.83</v>
      </c>
      <c r="M13" s="43" t="s">
        <v>27</v>
      </c>
      <c r="P13" s="5">
        <v>1</v>
      </c>
      <c r="Q13" s="13">
        <v>6571</v>
      </c>
      <c r="R13" s="33">
        <f>+K13*$R$6</f>
        <v>328.41500000000002</v>
      </c>
      <c r="S13" s="32"/>
    </row>
    <row r="14" spans="1:19" x14ac:dyDescent="0.25">
      <c r="A14" s="34" t="s">
        <v>28</v>
      </c>
      <c r="B14" s="42">
        <v>1960.75</v>
      </c>
      <c r="C14" s="27"/>
      <c r="F14" s="41"/>
      <c r="G14" s="41"/>
      <c r="H14" s="37">
        <f t="shared" si="0"/>
        <v>1960.75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26.4</v>
      </c>
      <c r="C15" s="27"/>
      <c r="F15" s="44">
        <v>1.2</v>
      </c>
      <c r="G15" s="44">
        <v>9.7100000000000009</v>
      </c>
      <c r="H15" s="37">
        <f t="shared" si="0"/>
        <v>15.489999999999998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/>
    </row>
    <row r="16" spans="1:19" ht="18.75" thickBot="1" x14ac:dyDescent="0.3">
      <c r="A16" s="34" t="s">
        <v>33</v>
      </c>
      <c r="B16" s="51">
        <v>44.02</v>
      </c>
      <c r="C16" s="27"/>
      <c r="D16" s="7"/>
      <c r="F16" s="44">
        <v>3.77</v>
      </c>
      <c r="G16" s="44">
        <v>8.4</v>
      </c>
      <c r="H16" s="37">
        <f t="shared" si="0"/>
        <v>31.85</v>
      </c>
      <c r="I16" s="52">
        <v>1</v>
      </c>
      <c r="J16" s="10">
        <v>2120</v>
      </c>
      <c r="K16" s="21">
        <f>-H16</f>
        <v>-31.85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-15.925000000000001</v>
      </c>
      <c r="S16" s="32"/>
    </row>
    <row r="17" spans="1:26" x14ac:dyDescent="0.25">
      <c r="A17" s="34" t="s">
        <v>35</v>
      </c>
      <c r="B17" s="40">
        <v>14.64</v>
      </c>
      <c r="C17" s="27"/>
      <c r="D17" s="54"/>
      <c r="F17" s="41"/>
      <c r="G17" s="55"/>
      <c r="H17" s="37">
        <f t="shared" si="0"/>
        <v>14.64</v>
      </c>
      <c r="I17" s="12">
        <v>1</v>
      </c>
      <c r="J17" s="13">
        <v>1830</v>
      </c>
      <c r="K17" s="56">
        <f>ROUND(-H20-H27-H17-H18-H21-H26-H28,2)</f>
        <v>-948.47</v>
      </c>
      <c r="M17" s="5" t="s">
        <v>36</v>
      </c>
      <c r="P17" s="5">
        <v>1</v>
      </c>
      <c r="Q17" s="13">
        <v>1830</v>
      </c>
      <c r="R17" s="33">
        <f>+K17*$R$6</f>
        <v>-474.23500000000001</v>
      </c>
      <c r="S17" s="32"/>
    </row>
    <row r="18" spans="1:26" x14ac:dyDescent="0.25">
      <c r="A18" s="34" t="s">
        <v>37</v>
      </c>
      <c r="B18" s="42">
        <v>87.96</v>
      </c>
      <c r="C18" s="27"/>
      <c r="D18" s="54"/>
      <c r="F18" s="41"/>
      <c r="G18" s="44">
        <v>59.88</v>
      </c>
      <c r="H18" s="37">
        <f t="shared" si="0"/>
        <v>28.079999999999991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42"/>
      <c r="C19" s="27"/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293.60000000000002</v>
      </c>
      <c r="M19" s="5" t="s">
        <v>40</v>
      </c>
      <c r="P19" s="5">
        <v>1</v>
      </c>
      <c r="Q19" s="13">
        <v>6300</v>
      </c>
      <c r="R19" s="33">
        <f>+K19*$R$6</f>
        <v>146.80000000000001</v>
      </c>
      <c r="S19" s="32"/>
    </row>
    <row r="20" spans="1:26" x14ac:dyDescent="0.25">
      <c r="A20" s="34" t="s">
        <v>41</v>
      </c>
      <c r="B20" s="42">
        <v>1463.39</v>
      </c>
      <c r="C20" s="27"/>
      <c r="F20" s="41"/>
      <c r="G20" s="44">
        <v>809.87</v>
      </c>
      <c r="H20" s="37">
        <f t="shared" si="0"/>
        <v>653.5200000000001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42">
        <v>150</v>
      </c>
      <c r="C21" s="27"/>
      <c r="D21" s="54"/>
      <c r="F21" s="41"/>
      <c r="G21" s="44">
        <v>126</v>
      </c>
      <c r="H21" s="37">
        <f t="shared" si="0"/>
        <v>24</v>
      </c>
      <c r="I21" s="12">
        <v>1</v>
      </c>
      <c r="J21" s="13">
        <v>6630</v>
      </c>
      <c r="K21" s="32"/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42"/>
      <c r="C22" s="27"/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42">
        <v>1802.34</v>
      </c>
      <c r="C23" s="27"/>
      <c r="F23" s="44">
        <v>172.48</v>
      </c>
      <c r="G23" s="44">
        <v>623.98</v>
      </c>
      <c r="H23" s="37">
        <f t="shared" si="0"/>
        <v>1005.8799999999999</v>
      </c>
      <c r="I23" s="12"/>
      <c r="J23" s="13"/>
      <c r="K23" s="59">
        <f>SUM(K7:K22)</f>
        <v>28916.670000000006</v>
      </c>
      <c r="N23" s="1">
        <v>2040</v>
      </c>
      <c r="P23" s="5">
        <v>1</v>
      </c>
      <c r="Q23" s="13">
        <v>2040</v>
      </c>
      <c r="R23" s="60">
        <f>SUM(R7:R22)</f>
        <v>14458.335000000003</v>
      </c>
      <c r="S23" s="6"/>
      <c r="V23" s="32"/>
    </row>
    <row r="24" spans="1:26" ht="18.75" thickTop="1" x14ac:dyDescent="0.25">
      <c r="A24" s="34" t="s">
        <v>48</v>
      </c>
      <c r="B24" s="42">
        <v>465.81</v>
      </c>
      <c r="C24" s="27"/>
      <c r="F24" s="41"/>
      <c r="G24" s="44">
        <v>123.58</v>
      </c>
      <c r="H24" s="37">
        <f t="shared" si="0"/>
        <v>342.23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42">
        <v>132.69</v>
      </c>
      <c r="C25" s="27"/>
      <c r="F25" s="44">
        <v>101.92</v>
      </c>
      <c r="G25" s="44"/>
      <c r="H25" s="37">
        <f t="shared" si="0"/>
        <v>30.769999999999996</v>
      </c>
      <c r="I25" s="61">
        <v>2</v>
      </c>
      <c r="J25" s="62"/>
      <c r="K25" s="32"/>
      <c r="Q25" s="62"/>
      <c r="R25" s="33"/>
      <c r="V25" s="32"/>
    </row>
    <row r="26" spans="1:26" x14ac:dyDescent="0.25">
      <c r="A26" s="34" t="s">
        <v>50</v>
      </c>
      <c r="B26" s="42">
        <v>84.54</v>
      </c>
      <c r="C26" s="27"/>
      <c r="D26" s="54"/>
      <c r="F26" s="41"/>
      <c r="G26" s="55"/>
      <c r="H26" s="37">
        <f t="shared" si="0"/>
        <v>84.54</v>
      </c>
      <c r="I26" s="12">
        <v>2</v>
      </c>
      <c r="J26" s="13">
        <v>6500</v>
      </c>
      <c r="K26" s="32">
        <f>G7+G31-G29</f>
        <v>17051.38</v>
      </c>
      <c r="M26" s="5" t="s">
        <v>51</v>
      </c>
      <c r="O26" s="32"/>
      <c r="P26" s="5">
        <v>2</v>
      </c>
      <c r="Q26" s="13">
        <v>6500</v>
      </c>
      <c r="R26" s="33">
        <f>+K26*R6</f>
        <v>8525.69</v>
      </c>
      <c r="S26" s="32"/>
      <c r="X26" s="32"/>
    </row>
    <row r="27" spans="1:26" x14ac:dyDescent="0.25">
      <c r="A27" s="34" t="s">
        <v>52</v>
      </c>
      <c r="B27" s="42">
        <v>114.66</v>
      </c>
      <c r="C27" s="63"/>
      <c r="F27" s="41"/>
      <c r="G27" s="55"/>
      <c r="H27" s="37">
        <f t="shared" si="0"/>
        <v>114.66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51">
        <v>58.15</v>
      </c>
      <c r="C28" s="27"/>
      <c r="D28" s="54"/>
      <c r="F28" s="44">
        <v>10.75</v>
      </c>
      <c r="G28" s="44">
        <v>18.37</v>
      </c>
      <c r="H28" s="37">
        <f t="shared" si="0"/>
        <v>29.029999999999998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168"/>
      <c r="C29" s="65">
        <f t="shared" ref="C29:C30" si="1">B29-F29-G29-H29</f>
        <v>0</v>
      </c>
      <c r="D29" s="172">
        <v>6500</v>
      </c>
      <c r="F29" s="66">
        <f>+B29*0.1</f>
        <v>0</v>
      </c>
      <c r="G29" s="67">
        <f>+B29*0.3</f>
        <v>0</v>
      </c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1008.87</v>
      </c>
      <c r="M29" s="39" t="s">
        <v>21</v>
      </c>
      <c r="P29" s="5">
        <v>2</v>
      </c>
      <c r="Q29" s="13">
        <v>6580</v>
      </c>
      <c r="R29" s="33">
        <f>+K29*R6</f>
        <v>504.435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198.03</v>
      </c>
      <c r="M31" s="5" t="s">
        <v>25</v>
      </c>
      <c r="P31" s="5">
        <v>2</v>
      </c>
      <c r="Q31" s="13">
        <v>6570</v>
      </c>
      <c r="R31" s="33">
        <f>+K31*$R$6</f>
        <v>99.015000000000001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B7+B8+B10-B11-B12-B13-B14-B15-B16-B19-B29-B20-B26-B25-B28-B17-B21-B18-B23-B22-B24+B30+B31-B27+B9</f>
        <v>35342.740000000005</v>
      </c>
      <c r="C32" s="72">
        <f>B32-F32-G32-H32</f>
        <v>-114.66000000000167</v>
      </c>
      <c r="D32" s="71"/>
      <c r="E32" s="71"/>
      <c r="F32" s="71">
        <f>F7+F8+F10-F11-F12-F13-F14-F15-F16-F19-F29-F20-F26-F25-F28-F17-F21-F18-F23-F22-F24+F30+F31-F27+F9</f>
        <v>3231.51</v>
      </c>
      <c r="G32" s="71">
        <f>G7+G8+G10-G11-G12-G13-G14-G15-G16-G19-G29-G20-G26-G25-G28-G17-G21-G18-G23-G22-G24+G30+G31-G27+G9</f>
        <v>16462.54</v>
      </c>
      <c r="H32" s="71">
        <f>H7+H8+H10-H11-H12-H13-H14-H15-H16-H19-H29-H20-H26-H25-H28-H17-H21-H18-H23-H22-H24+H30+H31</f>
        <v>15763.350000000004</v>
      </c>
      <c r="I32" s="12">
        <v>2</v>
      </c>
      <c r="J32" s="13">
        <v>6571</v>
      </c>
      <c r="K32" s="32">
        <f>G55</f>
        <v>371.37</v>
      </c>
      <c r="M32" s="43" t="s">
        <v>27</v>
      </c>
      <c r="P32" s="5">
        <v>2</v>
      </c>
      <c r="Q32" s="13">
        <v>6571</v>
      </c>
      <c r="R32" s="33">
        <f>+K32*$R$6</f>
        <v>185.685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/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-8.4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-4.2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ROUND(-G17-G18-G20-G21-G26-G28,2)</f>
        <v>-1014.12</v>
      </c>
      <c r="M36" s="5" t="s">
        <v>36</v>
      </c>
      <c r="O36" s="1"/>
      <c r="P36" s="5">
        <v>2</v>
      </c>
      <c r="Q36" s="13">
        <v>1830</v>
      </c>
      <c r="R36" s="33">
        <f>+K36*$R$6</f>
        <v>-507.06</v>
      </c>
      <c r="S36" s="32"/>
    </row>
    <row r="37" spans="1:22" x14ac:dyDescent="0.25">
      <c r="A37" s="25" t="s">
        <v>66</v>
      </c>
      <c r="B37" s="80">
        <f>B11</f>
        <v>2790.33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2790.33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652.57000000000005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652.57000000000005</v>
      </c>
      <c r="I38" s="12">
        <v>2</v>
      </c>
      <c r="J38" s="13">
        <v>6300</v>
      </c>
      <c r="K38" s="84">
        <f>ROUND(G70,2)</f>
        <v>146.80000000000001</v>
      </c>
      <c r="M38" s="5" t="s">
        <v>40</v>
      </c>
      <c r="O38" s="1"/>
      <c r="P38" s="5">
        <v>2</v>
      </c>
      <c r="Q38" s="13">
        <v>6300</v>
      </c>
      <c r="R38" s="33">
        <f>+K38*$R$6</f>
        <v>73.400000000000006</v>
      </c>
      <c r="S38" s="32"/>
    </row>
    <row r="39" spans="1:22" x14ac:dyDescent="0.25">
      <c r="A39" s="34" t="s">
        <v>68</v>
      </c>
      <c r="B39" s="83">
        <f>B13</f>
        <v>3632.49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3632.49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1960.75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1960.75</v>
      </c>
      <c r="I40" s="85"/>
      <c r="J40" s="5">
        <v>2040</v>
      </c>
      <c r="K40" s="86">
        <f>SUM(K26:K39)</f>
        <v>17753.929999999997</v>
      </c>
      <c r="N40" s="1">
        <v>2040</v>
      </c>
      <c r="O40" s="1"/>
      <c r="P40" s="5">
        <v>2</v>
      </c>
      <c r="Q40" s="5">
        <v>2040</v>
      </c>
      <c r="R40" s="86">
        <f>SUM(R26:R39)</f>
        <v>8876.9649999999983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2790.37</v>
      </c>
      <c r="C42" s="27">
        <f>B42-F42-G42-H42</f>
        <v>0</v>
      </c>
      <c r="D42" s="4">
        <v>6580</v>
      </c>
      <c r="F42" s="90">
        <v>146.44999999999999</v>
      </c>
      <c r="G42" s="90">
        <v>797.62</v>
      </c>
      <c r="H42" s="37">
        <f>B42-F42-G42</f>
        <v>1846.3000000000002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652.59</v>
      </c>
      <c r="C43" s="27">
        <f>B43-F43-G43-H43</f>
        <v>0</v>
      </c>
      <c r="D43" s="4">
        <v>6580</v>
      </c>
      <c r="F43" s="90">
        <v>34.25</v>
      </c>
      <c r="G43" s="90">
        <v>186.54</v>
      </c>
      <c r="H43" s="37">
        <f>B43-F43-G43</f>
        <v>431.80000000000007</v>
      </c>
      <c r="I43" s="12">
        <v>3</v>
      </c>
      <c r="J43" s="13">
        <v>6500</v>
      </c>
      <c r="K43" s="92">
        <f>F7+F31-F29</f>
        <v>3521.63</v>
      </c>
      <c r="M43" s="5" t="s">
        <v>71</v>
      </c>
      <c r="O43" s="1"/>
      <c r="P43" s="5">
        <v>3</v>
      </c>
      <c r="Q43" s="13">
        <v>6500</v>
      </c>
      <c r="R43" s="33">
        <f>+K43*$R$6</f>
        <v>1760.8150000000001</v>
      </c>
      <c r="S43" s="32"/>
    </row>
    <row r="44" spans="1:22" x14ac:dyDescent="0.25">
      <c r="A44" s="34" t="s">
        <v>72</v>
      </c>
      <c r="B44" s="89">
        <v>16.8</v>
      </c>
      <c r="C44" s="27">
        <f>B44-F44-G44-H44</f>
        <v>0</v>
      </c>
      <c r="D44" s="4">
        <v>6580</v>
      </c>
      <c r="F44" s="90"/>
      <c r="G44" s="91">
        <v>8.8800000000000008</v>
      </c>
      <c r="H44" s="37">
        <f>B44-G44-F44</f>
        <v>7.92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60.28</v>
      </c>
      <c r="C45" s="27">
        <f>B45-F45-G45-H45</f>
        <v>0</v>
      </c>
      <c r="D45" s="4">
        <v>6580</v>
      </c>
      <c r="F45" s="90"/>
      <c r="G45" s="94">
        <v>25.54</v>
      </c>
      <c r="H45" s="37">
        <f>B45-G45-F45</f>
        <v>34.74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2.62</v>
      </c>
      <c r="C46" s="27">
        <f>B46-F46-G46-H46</f>
        <v>0</v>
      </c>
      <c r="F46" s="96"/>
      <c r="G46" s="96"/>
      <c r="H46" s="37">
        <f>B46-G46-F46</f>
        <v>2.62</v>
      </c>
      <c r="I46" s="12">
        <v>3</v>
      </c>
      <c r="J46" s="13">
        <v>6580</v>
      </c>
      <c r="K46" s="32">
        <f>ROUND($F$42+$F$43+$F$44+$F$45-$F$15+$F$46,2)</f>
        <v>179.5</v>
      </c>
      <c r="M46" s="39" t="s">
        <v>21</v>
      </c>
      <c r="O46" s="1"/>
      <c r="P46" s="5">
        <v>3</v>
      </c>
      <c r="Q46" s="13">
        <v>6580</v>
      </c>
      <c r="R46" s="33">
        <f>+K46*$R$6</f>
        <v>89.75</v>
      </c>
      <c r="S46" s="32"/>
    </row>
    <row r="47" spans="1:22" ht="18.75" thickBot="1" x14ac:dyDescent="0.3">
      <c r="B47" s="97">
        <f>SUM(B42:B46)</f>
        <v>3522.6600000000003</v>
      </c>
      <c r="C47" s="27">
        <f>B48-F47-G47-H47</f>
        <v>0</v>
      </c>
      <c r="D47" s="7"/>
      <c r="E47" s="1"/>
      <c r="F47" s="97">
        <f>SUM(F37:F46)</f>
        <v>180.7</v>
      </c>
      <c r="G47" s="97">
        <f>SUM(G37:G46)</f>
        <v>1018.5799999999999</v>
      </c>
      <c r="H47" s="71">
        <f>SUM(H37:H46)</f>
        <v>11359.519999999999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12558.8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48.93</v>
      </c>
      <c r="M48" s="5" t="s">
        <v>40</v>
      </c>
      <c r="O48" s="1"/>
      <c r="P48" s="5">
        <v>3</v>
      </c>
      <c r="Q48" s="13">
        <v>6300</v>
      </c>
      <c r="R48" s="33">
        <f>+K48*$R$6</f>
        <v>24.465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-3.77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-1.885</v>
      </c>
      <c r="S50" s="32"/>
    </row>
    <row r="51" spans="1:23" x14ac:dyDescent="0.25">
      <c r="A51" s="25" t="s">
        <v>78</v>
      </c>
      <c r="B51" s="80">
        <f>B23</f>
        <v>1802.34</v>
      </c>
      <c r="C51" s="106"/>
      <c r="D51" s="28">
        <v>6570</v>
      </c>
      <c r="E51" s="29"/>
      <c r="F51" s="81">
        <f>F23</f>
        <v>172.48</v>
      </c>
      <c r="G51" s="107">
        <f>G23</f>
        <v>623.98</v>
      </c>
      <c r="H51" s="31">
        <f>B51-G51-F51</f>
        <v>1005.8799999999999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66.010000000000005</v>
      </c>
      <c r="M52" s="5" t="s">
        <v>25</v>
      </c>
      <c r="O52" s="1"/>
      <c r="P52" s="5">
        <v>3</v>
      </c>
      <c r="Q52" s="13">
        <v>6570</v>
      </c>
      <c r="R52" s="33">
        <f>+K52</f>
        <v>66.010000000000005</v>
      </c>
      <c r="S52" s="32"/>
    </row>
    <row r="53" spans="1:23" x14ac:dyDescent="0.25">
      <c r="A53" s="34" t="s">
        <v>60</v>
      </c>
      <c r="B53" s="108">
        <f>SUM(B51:B52)</f>
        <v>1802.34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70">
        <v>1126.76</v>
      </c>
      <c r="C55" s="111"/>
      <c r="D55" s="4">
        <v>6571</v>
      </c>
      <c r="F55" s="90">
        <v>98.56</v>
      </c>
      <c r="G55" s="90">
        <v>371.37</v>
      </c>
      <c r="H55" s="37">
        <f>B55-F55-G55</f>
        <v>656.83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71">
        <v>114.05</v>
      </c>
      <c r="C56" s="111"/>
      <c r="D56" s="4">
        <v>6571</v>
      </c>
      <c r="F56" s="93"/>
      <c r="G56" s="93"/>
      <c r="H56" s="37">
        <f>B56-F56-G56</f>
        <v>114.05</v>
      </c>
      <c r="I56" s="12"/>
      <c r="J56" s="13"/>
      <c r="K56" s="86">
        <f>SUM(K43:K55)</f>
        <v>3900.11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2037.7149999999999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660.1</v>
      </c>
      <c r="C58" s="111"/>
      <c r="D58" s="4">
        <v>6570</v>
      </c>
      <c r="F58" s="88">
        <f>ROUND(B58*10%,2)</f>
        <v>66.010000000000005</v>
      </c>
      <c r="G58" s="88">
        <f>ROUND(B58*30%,2)</f>
        <v>198.03</v>
      </c>
      <c r="H58" s="37">
        <f>ROUND(B58-F58-G58,2)</f>
        <v>396.06</v>
      </c>
      <c r="I58" s="52">
        <v>1</v>
      </c>
      <c r="J58" s="10">
        <v>1012</v>
      </c>
      <c r="K58" s="113">
        <f>-(K23+K40+K56+K74+K84+K90)-K59</f>
        <v>-52578.570000000007</v>
      </c>
      <c r="M58" s="1"/>
      <c r="N58" s="32">
        <f>+'[12]1012-CNB Checking'!$F$109</f>
        <v>52578.57</v>
      </c>
      <c r="O58" s="114">
        <f>+K58+N58+K59</f>
        <v>-7.2759576141834259E-12</v>
      </c>
      <c r="P58" s="32"/>
      <c r="R58" s="33"/>
    </row>
    <row r="59" spans="1:23" ht="18.75" thickTop="1" x14ac:dyDescent="0.25">
      <c r="A59" s="34" t="s">
        <v>48</v>
      </c>
      <c r="B59" s="83">
        <f>B24</f>
        <v>465.81</v>
      </c>
      <c r="C59" s="27"/>
      <c r="F59" s="88">
        <f>F24</f>
        <v>0</v>
      </c>
      <c r="G59" s="88">
        <f>G24</f>
        <v>123.58</v>
      </c>
      <c r="H59" s="37">
        <f>B59-F59-G59</f>
        <v>342.23</v>
      </c>
      <c r="I59" s="52">
        <v>1</v>
      </c>
      <c r="J59" s="10">
        <v>1012</v>
      </c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132.69</v>
      </c>
      <c r="C60" s="27"/>
      <c r="F60" s="88">
        <f>F25</f>
        <v>101.92</v>
      </c>
      <c r="G60" s="88">
        <f>G25</f>
        <v>0</v>
      </c>
      <c r="H60" s="37">
        <f>B60-F60-G60</f>
        <v>30.769999999999996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4187.7000000000007</v>
      </c>
      <c r="C61" s="117"/>
      <c r="D61" s="7"/>
      <c r="E61" s="1"/>
      <c r="F61" s="71">
        <f>F51+F55</f>
        <v>271.03999999999996</v>
      </c>
      <c r="G61" s="71">
        <f>G51+G55</f>
        <v>995.35</v>
      </c>
      <c r="H61" s="118">
        <f>B61-G61</f>
        <v>3192.3500000000008</v>
      </c>
      <c r="I61" s="115">
        <v>1</v>
      </c>
      <c r="J61" s="119">
        <v>1831</v>
      </c>
      <c r="K61" s="120">
        <v>710</v>
      </c>
      <c r="M61" s="5" t="s">
        <v>42</v>
      </c>
      <c r="O61" s="121"/>
      <c r="P61" s="115"/>
      <c r="Q61" s="119"/>
      <c r="R61" s="16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>
        <v>95.41</v>
      </c>
      <c r="M62" s="5" t="s">
        <v>132</v>
      </c>
      <c r="O62" s="1"/>
      <c r="P62" s="115"/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O63" s="1"/>
      <c r="P63" s="85"/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/>
      <c r="R64" s="16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/>
      <c r="M65" s="5" t="s">
        <v>90</v>
      </c>
      <c r="O65" s="1"/>
      <c r="P65" s="85"/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1190.91-K79</f>
        <v>11.5</v>
      </c>
      <c r="M66" s="5" t="s">
        <v>133</v>
      </c>
      <c r="O66" s="1"/>
      <c r="P66" s="85"/>
      <c r="R66" s="16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/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>
        <v>489.33</v>
      </c>
      <c r="C70" s="106"/>
      <c r="D70" s="28">
        <v>6300</v>
      </c>
      <c r="E70" s="29"/>
      <c r="F70" s="81">
        <f>B70*F69</f>
        <v>48.933</v>
      </c>
      <c r="G70" s="107">
        <f>B70*G69</f>
        <v>146.79899999999998</v>
      </c>
      <c r="H70" s="31">
        <f>B70*H69-0</f>
        <v>293.59799999999996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48.933</v>
      </c>
      <c r="G71" s="71">
        <f>G70</f>
        <v>146.79899999999998</v>
      </c>
      <c r="H71" s="118">
        <f>H70</f>
        <v>293.59799999999996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52089.24</v>
      </c>
      <c r="F74" s="6"/>
      <c r="I74" s="85" t="s">
        <v>97</v>
      </c>
      <c r="K74" s="129">
        <f>SUM(K61:K73)</f>
        <v>816.91</v>
      </c>
      <c r="O74" s="1"/>
      <c r="R74" s="162"/>
    </row>
    <row r="75" spans="1:20" ht="18.75" thickBot="1" x14ac:dyDescent="0.3">
      <c r="F75" s="6"/>
      <c r="I75" s="85">
        <v>2</v>
      </c>
      <c r="J75" s="167">
        <v>6565</v>
      </c>
      <c r="K75" s="120"/>
      <c r="M75" s="5" t="s">
        <v>132</v>
      </c>
      <c r="O75" s="1"/>
      <c r="P75" s="85"/>
      <c r="Q75" s="119"/>
      <c r="R75" s="163"/>
      <c r="S75" s="32"/>
    </row>
    <row r="76" spans="1:20" x14ac:dyDescent="0.25">
      <c r="A76" s="129" t="s">
        <v>99</v>
      </c>
      <c r="B76" s="26">
        <v>35228.69</v>
      </c>
      <c r="C76" s="130"/>
      <c r="D76" s="131" t="s">
        <v>100</v>
      </c>
      <c r="E76" s="6"/>
      <c r="F76" s="6"/>
      <c r="G76" s="132"/>
      <c r="H76" s="6"/>
      <c r="I76" s="85">
        <v>2</v>
      </c>
      <c r="J76" s="119">
        <v>1831</v>
      </c>
      <c r="K76" s="120"/>
      <c r="M76" s="5" t="s">
        <v>42</v>
      </c>
      <c r="O76" s="1"/>
      <c r="P76" s="85"/>
      <c r="Q76" s="119"/>
      <c r="R76" s="16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/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85"/>
      <c r="R78" s="163"/>
      <c r="S78" s="32"/>
    </row>
    <row r="79" spans="1:20" ht="18.75" thickBot="1" x14ac:dyDescent="0.3">
      <c r="A79" s="134" t="s">
        <v>104</v>
      </c>
      <c r="B79" s="135">
        <f>ROUND(SUM(B76:B78),2)</f>
        <v>35228.69</v>
      </c>
      <c r="C79" s="130"/>
      <c r="D79" s="131"/>
      <c r="E79" s="6"/>
      <c r="F79" s="6"/>
      <c r="G79" s="129">
        <f>SUM(G76:G78)</f>
        <v>0</v>
      </c>
      <c r="H79" s="6" t="s">
        <v>105</v>
      </c>
      <c r="I79" s="85">
        <v>2</v>
      </c>
      <c r="J79" s="5">
        <v>6551</v>
      </c>
      <c r="K79" s="120">
        <v>1179.4100000000001</v>
      </c>
      <c r="M79" s="5" t="s">
        <v>91</v>
      </c>
      <c r="O79" s="1"/>
      <c r="P79" s="85"/>
      <c r="R79" s="163"/>
      <c r="S79" s="32"/>
    </row>
    <row r="80" spans="1:20" ht="18.75" thickBot="1" x14ac:dyDescent="0.3">
      <c r="A80" s="1" t="s">
        <v>106</v>
      </c>
      <c r="B80" s="26">
        <v>52089.24</v>
      </c>
      <c r="H80" s="128" t="str">
        <f>IF(B79-G79=0,"ok","NO")</f>
        <v>NO</v>
      </c>
      <c r="I80" s="85">
        <v>2</v>
      </c>
      <c r="J80" s="5">
        <v>6040</v>
      </c>
      <c r="K80" s="120"/>
      <c r="M80" s="5" t="s">
        <v>131</v>
      </c>
      <c r="O80" s="1"/>
      <c r="P80" s="85"/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-35228.69</v>
      </c>
      <c r="I81" s="85"/>
      <c r="J81" s="119" t="s">
        <v>95</v>
      </c>
      <c r="K81" s="127"/>
      <c r="O81" s="1"/>
      <c r="Q81" s="119"/>
      <c r="R81" s="163"/>
      <c r="S81" s="32"/>
    </row>
    <row r="82" spans="1:19" ht="18.75" thickBot="1" x14ac:dyDescent="0.3">
      <c r="B82" s="3">
        <f>+B80+B81</f>
        <v>52089.24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1190.95</v>
      </c>
      <c r="O84" s="1"/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/>
      <c r="Q85" s="5"/>
      <c r="R85" s="164"/>
      <c r="S85" s="32"/>
    </row>
    <row r="86" spans="1:19" s="33" customFormat="1" x14ac:dyDescent="0.25">
      <c r="A86" s="5"/>
      <c r="B86" s="32">
        <f>+B83+O58</f>
        <v>-7.2759576141834259E-12</v>
      </c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/>
      <c r="Q86" s="5"/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132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>
        <v>3</v>
      </c>
      <c r="B92" s="5"/>
      <c r="C92" s="5"/>
      <c r="D92" s="5"/>
      <c r="I92" s="85"/>
      <c r="K92" s="140">
        <f>+K74+K84+K90</f>
        <v>2007.8600000000001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37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0A8B6-1495-4921-8D6D-9D1EC09BA0FC}">
  <sheetPr>
    <tabColor rgb="FF00B0F0"/>
    <pageSetUpPr fitToPage="1"/>
  </sheetPr>
  <dimension ref="A2:Y100"/>
  <sheetViews>
    <sheetView zoomScale="70" zoomScaleNormal="70" zoomScalePageLayoutView="70" workbookViewId="0">
      <selection activeCell="Z15" sqref="Z15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2.8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32" width="10.5" style="5"/>
    <col min="33" max="33" width="19.75" style="5" bestFit="1" customWidth="1"/>
    <col min="34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43809</v>
      </c>
      <c r="K2" s="9"/>
      <c r="M2" s="5" t="s">
        <v>1</v>
      </c>
    </row>
    <row r="3" spans="1:24" ht="18.75" thickBot="1" x14ac:dyDescent="0.3">
      <c r="A3" s="10" t="s">
        <v>2</v>
      </c>
      <c r="B3" s="8">
        <v>43799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B6" s="74"/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>
        <v>1248</v>
      </c>
      <c r="C7" s="173">
        <v>6510</v>
      </c>
      <c r="D7" s="28"/>
      <c r="E7" s="29"/>
      <c r="F7" s="30"/>
      <c r="G7" s="146">
        <v>148</v>
      </c>
      <c r="H7" s="37">
        <f t="shared" ref="H7:H32" si="0">B7-F7-G7</f>
        <v>1100</v>
      </c>
      <c r="I7" s="12">
        <v>1</v>
      </c>
      <c r="J7" s="13">
        <v>6510</v>
      </c>
      <c r="K7" s="32">
        <f>+H7</f>
        <v>1100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>
        <f>7138.13+3333.33</f>
        <v>10471.459999999999</v>
      </c>
      <c r="C8" s="173">
        <v>6505</v>
      </c>
      <c r="F8" s="127"/>
      <c r="G8" s="127">
        <f>3141.23+3333.33</f>
        <v>6474.5599999999995</v>
      </c>
      <c r="H8" s="37">
        <f t="shared" si="0"/>
        <v>3996.8999999999996</v>
      </c>
      <c r="I8" s="12">
        <v>1</v>
      </c>
      <c r="J8" s="13">
        <v>6505</v>
      </c>
      <c r="K8" s="32">
        <f>+H8</f>
        <v>3996.8999999999996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/>
      <c r="C9" s="173"/>
      <c r="D9" s="4">
        <v>6500</v>
      </c>
      <c r="F9" s="127"/>
      <c r="G9" s="36"/>
      <c r="H9" s="37">
        <f t="shared" si="0"/>
        <v>0</v>
      </c>
      <c r="I9" s="12">
        <v>1</v>
      </c>
      <c r="J9" s="13">
        <v>6500</v>
      </c>
      <c r="K9" s="32">
        <f>+H9</f>
        <v>0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173"/>
      <c r="F10" s="148"/>
      <c r="G10" s="148"/>
      <c r="H10" s="37">
        <f t="shared" si="0"/>
        <v>0</v>
      </c>
      <c r="I10" s="12">
        <v>1</v>
      </c>
      <c r="J10" s="13">
        <v>6580</v>
      </c>
      <c r="K10" s="32">
        <f>ROUND(H43+H44+H45+H46-H16+H47,2)</f>
        <v>392.41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173"/>
      <c r="F11" s="150"/>
      <c r="G11" s="150"/>
      <c r="H11" s="37">
        <f t="shared" si="0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726.61</v>
      </c>
      <c r="C12" s="173"/>
      <c r="F12" s="41"/>
      <c r="G12" s="41"/>
      <c r="H12" s="37">
        <f>B12-F12-G12</f>
        <v>726.61</v>
      </c>
      <c r="I12" s="12">
        <v>1</v>
      </c>
      <c r="J12" s="13">
        <v>6570</v>
      </c>
      <c r="K12" s="32">
        <f>-H24+H52+H59</f>
        <v>47.857399231705223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169.92</v>
      </c>
      <c r="C13" s="173"/>
      <c r="F13" s="41"/>
      <c r="G13" s="41"/>
      <c r="H13" s="37">
        <f t="shared" si="0"/>
        <v>169.92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>
        <v>222.83</v>
      </c>
      <c r="C14" s="173"/>
      <c r="F14" s="41"/>
      <c r="G14" s="41"/>
      <c r="H14" s="37">
        <f t="shared" si="0"/>
        <v>222.83</v>
      </c>
      <c r="I14" s="12">
        <v>1</v>
      </c>
      <c r="J14" s="13">
        <v>6571</v>
      </c>
      <c r="K14" s="32">
        <f>+H56</f>
        <v>177.47000000000003</v>
      </c>
      <c r="L14" s="145"/>
      <c r="M14" s="5" t="s">
        <v>61</v>
      </c>
      <c r="P14" s="1"/>
    </row>
    <row r="15" spans="1:24" x14ac:dyDescent="0.25">
      <c r="A15" s="34" t="s">
        <v>28</v>
      </c>
      <c r="B15" s="151">
        <v>187.52</v>
      </c>
      <c r="C15" s="173"/>
      <c r="F15" s="41"/>
      <c r="G15" s="41"/>
      <c r="H15" s="37">
        <f t="shared" si="0"/>
        <v>187.52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/>
      <c r="C16" s="173"/>
      <c r="F16" s="152"/>
      <c r="G16" s="44"/>
      <c r="H16" s="37">
        <f t="shared" si="0"/>
        <v>0</v>
      </c>
      <c r="I16" s="52">
        <v>1</v>
      </c>
      <c r="J16" s="10">
        <v>2120</v>
      </c>
      <c r="K16" s="21">
        <f>-H17</f>
        <v>-4.5199999999999996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1">SUM(R7:R15)</f>
        <v>779.02</v>
      </c>
      <c r="S16" s="154">
        <f t="shared" si="1"/>
        <v>944.95</v>
      </c>
      <c r="T16" s="154">
        <f t="shared" si="1"/>
        <v>348.52</v>
      </c>
      <c r="U16" s="154">
        <f t="shared" si="1"/>
        <v>1512.56</v>
      </c>
      <c r="V16" s="154">
        <f t="shared" si="1"/>
        <v>670.31999999999994</v>
      </c>
      <c r="W16" s="154">
        <f t="shared" si="1"/>
        <v>4475.92</v>
      </c>
      <c r="X16" s="154">
        <f t="shared" si="1"/>
        <v>1797.86</v>
      </c>
    </row>
    <row r="17" spans="1:25" ht="19.5" thickTop="1" thickBot="1" x14ac:dyDescent="0.3">
      <c r="A17" s="34" t="s">
        <v>33</v>
      </c>
      <c r="B17" s="151">
        <v>7.02</v>
      </c>
      <c r="C17" s="173"/>
      <c r="F17" s="152"/>
      <c r="G17" s="44">
        <v>2.5</v>
      </c>
      <c r="H17" s="37">
        <f t="shared" si="0"/>
        <v>4.5199999999999996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173"/>
      <c r="D18" s="54"/>
      <c r="E18" s="5"/>
      <c r="F18" s="41"/>
      <c r="G18" s="55"/>
      <c r="H18" s="37">
        <f t="shared" si="0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173"/>
      <c r="D19" s="54"/>
      <c r="E19" s="5"/>
      <c r="F19" s="41"/>
      <c r="G19" s="44"/>
      <c r="H19" s="37">
        <f t="shared" si="0"/>
        <v>0</v>
      </c>
      <c r="I19" s="12">
        <v>1</v>
      </c>
      <c r="J19" s="13">
        <v>6300</v>
      </c>
      <c r="K19" s="82">
        <f>ROUND(H72,2)</f>
        <v>12.81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173"/>
      <c r="D20" s="4"/>
      <c r="E20" s="5"/>
      <c r="F20" s="41"/>
      <c r="G20" s="55"/>
      <c r="H20" s="37">
        <f t="shared" si="0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173"/>
      <c r="D21" s="4"/>
      <c r="E21" s="5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173"/>
      <c r="D22" s="54"/>
      <c r="E22" s="5"/>
      <c r="F22" s="41"/>
      <c r="G22" s="44"/>
      <c r="H22" s="37">
        <f t="shared" si="0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173"/>
      <c r="D23" s="4"/>
      <c r="E23" s="5"/>
      <c r="F23" s="41"/>
      <c r="G23" s="55"/>
      <c r="H23" s="37">
        <f t="shared" si="0"/>
        <v>0</v>
      </c>
      <c r="I23" s="12"/>
      <c r="J23" s="13"/>
      <c r="K23" s="59">
        <f>SUM(K7:K22)</f>
        <v>5722.9273992317048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>
        <v>420.8</v>
      </c>
      <c r="C24" s="173"/>
      <c r="D24" s="4"/>
      <c r="E24" s="5"/>
      <c r="F24" s="152"/>
      <c r="G24" s="44">
        <v>218.64</v>
      </c>
      <c r="H24" s="37">
        <f t="shared" si="0"/>
        <v>202.16000000000003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173"/>
      <c r="D25" s="4"/>
      <c r="E25" s="5"/>
      <c r="F25" s="41"/>
      <c r="G25" s="44"/>
      <c r="H25" s="37">
        <f t="shared" si="0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173"/>
      <c r="D26" s="4"/>
      <c r="E26" s="5"/>
      <c r="F26" s="44"/>
      <c r="G26" s="44"/>
      <c r="H26" s="37">
        <f t="shared" si="0"/>
        <v>0</v>
      </c>
      <c r="I26" s="12">
        <v>2</v>
      </c>
      <c r="J26" s="13">
        <v>6510</v>
      </c>
      <c r="K26" s="32">
        <f>+G7</f>
        <v>148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173"/>
      <c r="D27" s="54"/>
      <c r="E27" s="5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6474.5599999999995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174"/>
      <c r="D28" s="4"/>
      <c r="E28" s="5"/>
      <c r="F28" s="41"/>
      <c r="G28" s="55"/>
      <c r="H28" s="37">
        <f t="shared" si="0"/>
        <v>0</v>
      </c>
      <c r="I28" s="12">
        <v>2</v>
      </c>
      <c r="J28" s="13">
        <v>6500</v>
      </c>
      <c r="K28" s="32">
        <f>+G9</f>
        <v>0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173"/>
      <c r="D29" s="54"/>
      <c r="E29" s="5"/>
      <c r="F29" s="41"/>
      <c r="G29" s="44"/>
      <c r="H29" s="37">
        <f t="shared" si="0"/>
        <v>0</v>
      </c>
      <c r="I29" s="12">
        <v>2</v>
      </c>
      <c r="J29" s="13">
        <v>6580</v>
      </c>
      <c r="K29" s="32">
        <f>-G16+G43+G44+G45+G46+G47</f>
        <v>584.12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175"/>
      <c r="D30" s="54"/>
      <c r="E30" s="5"/>
      <c r="F30" s="66"/>
      <c r="G30" s="67"/>
      <c r="H30" s="37">
        <f t="shared" si="0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173"/>
      <c r="D31" s="4"/>
      <c r="E31" s="5"/>
      <c r="F31" s="68"/>
      <c r="G31" s="67"/>
      <c r="H31" s="37">
        <f t="shared" si="0"/>
        <v>0</v>
      </c>
      <c r="I31" s="12">
        <v>2</v>
      </c>
      <c r="J31" s="13">
        <v>6570</v>
      </c>
      <c r="K31" s="32">
        <f>-G24+G52+G59</f>
        <v>62.18260076829479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173">
        <f t="shared" ref="C32" si="2">B32-F32-G32-H32</f>
        <v>0</v>
      </c>
      <c r="D32" s="4">
        <v>6500</v>
      </c>
      <c r="E32" s="5"/>
      <c r="F32" s="69"/>
      <c r="G32" s="70"/>
      <c r="H32" s="37">
        <f t="shared" si="0"/>
        <v>0</v>
      </c>
      <c r="I32" s="12">
        <v>2</v>
      </c>
      <c r="J32" s="13">
        <v>6571</v>
      </c>
      <c r="K32" s="32">
        <f>G56</f>
        <v>121.38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9984.7599999999984</v>
      </c>
      <c r="C33" s="72">
        <f>B33-F33-G33-H33</f>
        <v>-7.0200000000008913</v>
      </c>
      <c r="D33" s="71"/>
      <c r="E33" s="71"/>
      <c r="F33" s="71">
        <f>F7+F8+F10+F11-F12-F13-F14-F15-F16-F30-F21-F27-F26-F29-F18-F22-F19-F24-F23-F25+F31+F32</f>
        <v>0</v>
      </c>
      <c r="G33" s="71">
        <f>G7+G8+G10+G11-G12-G13-G14-G15-G16-G30-G21-G27-G26-G29-G18-G22-G19-G24-G23-G25+G31+G32</f>
        <v>6403.9199999999992</v>
      </c>
      <c r="H33" s="71">
        <f>H7+H8+H10+H11-H12-H13-H14-H15-H16-H30-H21-H27-H26-H29-H18-H22-H19-H24-H23-H25+H31+H32-H20-H28</f>
        <v>3587.86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-2.5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726.61</v>
      </c>
      <c r="C38" s="27">
        <f>B38-F38-G38-H38</f>
        <v>0</v>
      </c>
      <c r="D38" s="28">
        <v>2100</v>
      </c>
      <c r="E38" s="29"/>
      <c r="F38" s="81">
        <v>0</v>
      </c>
      <c r="G38" s="80">
        <v>0</v>
      </c>
      <c r="H38" s="31">
        <f>B38-G38-F38</f>
        <v>726.61</v>
      </c>
      <c r="I38" s="12">
        <v>2</v>
      </c>
      <c r="J38" s="13">
        <v>6300</v>
      </c>
      <c r="K38" s="84">
        <f>ROUND(G72,2)</f>
        <v>16.64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169.92</v>
      </c>
      <c r="C39" s="27">
        <f>B39-F39-G39-H39</f>
        <v>0</v>
      </c>
      <c r="D39" s="4">
        <v>2100</v>
      </c>
      <c r="E39" s="5"/>
      <c r="F39" s="6">
        <v>0</v>
      </c>
      <c r="G39" s="83">
        <v>0</v>
      </c>
      <c r="H39" s="37">
        <f>B39-G39-F39</f>
        <v>169.92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222.83</v>
      </c>
      <c r="C40" s="27">
        <f>B40-F40-G40-H40</f>
        <v>0</v>
      </c>
      <c r="D40" s="4">
        <v>2110</v>
      </c>
      <c r="E40" s="5"/>
      <c r="F40" s="6">
        <v>0</v>
      </c>
      <c r="G40" s="83">
        <v>0</v>
      </c>
      <c r="H40" s="37">
        <f>B40-G40-F40</f>
        <v>222.83</v>
      </c>
      <c r="I40" s="85"/>
      <c r="J40" s="5"/>
      <c r="K40" s="86">
        <f>SUM(K26:K39)</f>
        <v>7404.3826007682947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187.52</v>
      </c>
      <c r="C41" s="27">
        <f>B41-F41-G41-H41</f>
        <v>0</v>
      </c>
      <c r="D41" s="4">
        <v>2120</v>
      </c>
      <c r="E41" s="5"/>
      <c r="F41" s="6">
        <v>0</v>
      </c>
      <c r="G41" s="83">
        <v>0</v>
      </c>
      <c r="H41" s="37">
        <f>B41-G41-F41</f>
        <v>187.52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726.62</v>
      </c>
      <c r="C43" s="27">
        <f>B43-F43-G43-H43</f>
        <v>0</v>
      </c>
      <c r="D43" s="4">
        <v>6580</v>
      </c>
      <c r="E43" s="5"/>
      <c r="F43" s="152"/>
      <c r="G43" s="152">
        <v>410.61</v>
      </c>
      <c r="H43" s="37">
        <f>B43-F43-G43</f>
        <v>316.01</v>
      </c>
      <c r="I43" s="12">
        <v>3</v>
      </c>
      <c r="J43" s="13">
        <v>6510</v>
      </c>
      <c r="K43" s="92">
        <f>+F7</f>
        <v>0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169.91</v>
      </c>
      <c r="C44" s="27">
        <f>B44-F44-G44-H44</f>
        <v>0</v>
      </c>
      <c r="D44" s="4">
        <v>6580</v>
      </c>
      <c r="E44" s="5"/>
      <c r="F44" s="152"/>
      <c r="G44" s="152">
        <v>96.01</v>
      </c>
      <c r="H44" s="37">
        <f>B44-F44-G44</f>
        <v>73.899999999999991</v>
      </c>
      <c r="I44" s="12">
        <v>3</v>
      </c>
      <c r="J44" s="13">
        <v>6505</v>
      </c>
      <c r="K44" s="92">
        <f>+F8</f>
        <v>0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>
        <v>20</v>
      </c>
      <c r="C45" s="27">
        <f>B45-F45-G45-H45</f>
        <v>0</v>
      </c>
      <c r="D45" s="4">
        <v>6580</v>
      </c>
      <c r="E45" s="5"/>
      <c r="F45" s="90"/>
      <c r="G45" s="91">
        <v>20</v>
      </c>
      <c r="H45" s="37">
        <f>B45-G45-F45</f>
        <v>0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>
        <v>57.5</v>
      </c>
      <c r="C46" s="27">
        <f>B46-F46-G46-H46</f>
        <v>0</v>
      </c>
      <c r="D46" s="4">
        <v>6580</v>
      </c>
      <c r="E46" s="5"/>
      <c r="F46" s="93"/>
      <c r="G46" s="94">
        <v>57.5</v>
      </c>
      <c r="H46" s="37">
        <f>B46-G46-F46</f>
        <v>0</v>
      </c>
      <c r="I46" s="12">
        <v>3</v>
      </c>
      <c r="J46" s="13">
        <v>6580</v>
      </c>
      <c r="K46" s="92">
        <f>-F16+F43+F44+F45+F46+F47</f>
        <v>0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>
        <v>2.5</v>
      </c>
      <c r="C47" s="27">
        <f>B47-F47-G47-H47</f>
        <v>0</v>
      </c>
      <c r="D47" s="4"/>
      <c r="E47" s="5"/>
      <c r="F47" s="95"/>
      <c r="G47" s="96"/>
      <c r="H47" s="37">
        <f>B47-G47-F47</f>
        <v>2.5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976.53</v>
      </c>
      <c r="C48" s="27">
        <f>B49-F48-G48-H48</f>
        <v>0</v>
      </c>
      <c r="D48" s="7"/>
      <c r="E48" s="1"/>
      <c r="F48" s="97">
        <f>SUM(F38:F47)</f>
        <v>0</v>
      </c>
      <c r="G48" s="97">
        <f>SUM(G38:G47)</f>
        <v>584.12</v>
      </c>
      <c r="H48" s="71">
        <f>SUM(H38:H47)</f>
        <v>1699.29</v>
      </c>
      <c r="I48" s="12">
        <v>3</v>
      </c>
      <c r="J48" s="13">
        <v>6300</v>
      </c>
      <c r="K48" s="92">
        <f>ROUND(F72,2)</f>
        <v>0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5" s="33" customFormat="1" ht="19.5" thickTop="1" thickBot="1" x14ac:dyDescent="0.3">
      <c r="A49" s="34" t="s">
        <v>60</v>
      </c>
      <c r="B49" s="98">
        <f>SUM(B38:B47)</f>
        <v>2283.41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5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0</v>
      </c>
      <c r="L50" s="1"/>
      <c r="M50" s="1" t="s">
        <v>34</v>
      </c>
      <c r="N50" s="1"/>
      <c r="O50" s="1"/>
      <c r="P50" s="1"/>
    </row>
    <row r="51" spans="1:25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5" x14ac:dyDescent="0.25">
      <c r="A52" s="25" t="s">
        <v>78</v>
      </c>
      <c r="B52" s="80">
        <f>B24</f>
        <v>420.8</v>
      </c>
      <c r="C52" s="106"/>
      <c r="D52" s="28">
        <v>6570</v>
      </c>
      <c r="E52" s="29"/>
      <c r="F52" s="81">
        <f>F24</f>
        <v>0</v>
      </c>
      <c r="G52" s="107">
        <f>G24</f>
        <v>218.64</v>
      </c>
      <c r="H52" s="31">
        <f>B52-G52-F52</f>
        <v>202.16000000000003</v>
      </c>
      <c r="I52" s="12">
        <v>3</v>
      </c>
      <c r="J52" s="13">
        <v>6570</v>
      </c>
      <c r="K52" s="92">
        <f>F59</f>
        <v>0</v>
      </c>
      <c r="M52" s="5" t="s">
        <v>25</v>
      </c>
      <c r="O52" s="1"/>
      <c r="P52" s="1"/>
    </row>
    <row r="53" spans="1:25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0</v>
      </c>
      <c r="M53" s="5" t="s">
        <v>27</v>
      </c>
      <c r="O53" s="1"/>
      <c r="P53" s="1"/>
    </row>
    <row r="54" spans="1:25" x14ac:dyDescent="0.25">
      <c r="A54" s="34" t="s">
        <v>60</v>
      </c>
      <c r="B54" s="108">
        <f>SUM(B52:B53)</f>
        <v>420.8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5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5" ht="18.75" thickBot="1" x14ac:dyDescent="0.3">
      <c r="A56" s="34" t="s">
        <v>80</v>
      </c>
      <c r="B56" s="110">
        <v>298.85000000000002</v>
      </c>
      <c r="C56" s="111"/>
      <c r="D56" s="4">
        <v>6571</v>
      </c>
      <c r="F56" s="152"/>
      <c r="G56" s="44">
        <v>121.38</v>
      </c>
      <c r="H56" s="37">
        <f>B56-F56-G56</f>
        <v>177.47000000000003</v>
      </c>
      <c r="I56" s="12"/>
      <c r="J56" s="13"/>
      <c r="K56" s="86">
        <f>SUM(K43:K55)</f>
        <v>0</v>
      </c>
      <c r="L56" s="1"/>
      <c r="N56" s="1">
        <v>2040</v>
      </c>
      <c r="O56" s="1"/>
      <c r="P56" s="1"/>
      <c r="Q56" s="33">
        <f>+O58+K58</f>
        <v>0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5" ht="18.75" thickTop="1" x14ac:dyDescent="0.25">
      <c r="A57" s="34" t="s">
        <v>61</v>
      </c>
      <c r="B57" s="112">
        <v>74.28</v>
      </c>
      <c r="C57" s="111"/>
      <c r="D57" s="4">
        <v>6571</v>
      </c>
      <c r="F57" s="93"/>
      <c r="G57" s="157"/>
      <c r="H57" s="37">
        <f>B57-F57-G57</f>
        <v>74.28</v>
      </c>
      <c r="I57" s="12"/>
      <c r="J57" s="13"/>
      <c r="K57" s="32"/>
      <c r="M57" s="1" t="s">
        <v>83</v>
      </c>
      <c r="O57" s="1"/>
      <c r="P57" s="1"/>
    </row>
    <row r="58" spans="1:25" ht="18.75" thickBot="1" x14ac:dyDescent="0.3">
      <c r="A58" s="34" t="s">
        <v>82</v>
      </c>
      <c r="B58" s="83"/>
      <c r="C58" s="111"/>
      <c r="F58" s="6"/>
      <c r="G58" s="88"/>
      <c r="H58" s="37">
        <f>B58-F58-G58</f>
        <v>0</v>
      </c>
      <c r="I58" s="52">
        <v>1</v>
      </c>
      <c r="J58" s="10">
        <v>1012</v>
      </c>
      <c r="K58" s="113">
        <f>-(K23+K40+K56+K76+K83+K88)-K59-K60</f>
        <v>-13127.31</v>
      </c>
      <c r="M58" s="1"/>
      <c r="O58" s="114">
        <f>+'[13]1012-CNB Checking'!$F$36</f>
        <v>13127.31</v>
      </c>
      <c r="P58" s="114"/>
      <c r="Y58" s="32">
        <f>+K58+O58</f>
        <v>0</v>
      </c>
    </row>
    <row r="59" spans="1:25" ht="18.75" thickTop="1" x14ac:dyDescent="0.25">
      <c r="A59" s="34" t="s">
        <v>25</v>
      </c>
      <c r="B59" s="110">
        <v>110.04</v>
      </c>
      <c r="C59" s="111"/>
      <c r="D59" s="4">
        <v>6570</v>
      </c>
      <c r="F59" s="160">
        <f>+B59*F65</f>
        <v>0</v>
      </c>
      <c r="G59" s="88">
        <f>+B59*G70</f>
        <v>62.18260076829479</v>
      </c>
      <c r="H59" s="37">
        <f>+B59*H65</f>
        <v>47.857399231705223</v>
      </c>
      <c r="I59" s="85">
        <v>1</v>
      </c>
      <c r="K59" s="21"/>
      <c r="O59" s="21"/>
      <c r="P59" s="1"/>
    </row>
    <row r="60" spans="1:25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85">
        <v>1</v>
      </c>
      <c r="K60" s="21"/>
      <c r="O60" s="21"/>
      <c r="P60" s="1"/>
    </row>
    <row r="61" spans="1:25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>B61-F61-G61</f>
        <v>0</v>
      </c>
      <c r="I61" s="85"/>
      <c r="K61" s="21"/>
      <c r="O61" s="21"/>
      <c r="P61" s="1"/>
    </row>
    <row r="62" spans="1:25" ht="18.75" thickBot="1" x14ac:dyDescent="0.3">
      <c r="A62" s="34" t="s">
        <v>60</v>
      </c>
      <c r="B62" s="116">
        <f>B54+B60+B61+B56+B59+B58</f>
        <v>829.69</v>
      </c>
      <c r="C62" s="117"/>
      <c r="D62" s="7"/>
      <c r="E62" s="1"/>
      <c r="F62" s="71">
        <f>F52+F56</f>
        <v>0</v>
      </c>
      <c r="G62" s="71">
        <f>G52+G56</f>
        <v>340.02</v>
      </c>
      <c r="H62" s="118">
        <f>B62-G62</f>
        <v>489.67000000000007</v>
      </c>
      <c r="I62" s="115" t="s">
        <v>85</v>
      </c>
      <c r="K62" s="32"/>
      <c r="O62" s="1"/>
      <c r="P62" s="1"/>
    </row>
    <row r="63" spans="1:25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5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f>+(F7+F8)/($B$7+$B$8)</f>
        <v>0</v>
      </c>
      <c r="G65" s="123">
        <f>+(G7+G8)/($B$7+$B$8)</f>
        <v>0.5650908830270337</v>
      </c>
      <c r="H65" s="123">
        <f>+(H7+H8)/($B$7+$B$8)</f>
        <v>0.43490911697296636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0</v>
      </c>
      <c r="G70" s="123">
        <f>G65</f>
        <v>0.5650908830270337</v>
      </c>
      <c r="H70" s="123">
        <f>H65</f>
        <v>0.43490911697296636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>
        <f>27.68+1.77</f>
        <v>29.45</v>
      </c>
      <c r="C71" s="106"/>
      <c r="D71" s="28">
        <v>6300</v>
      </c>
      <c r="E71" s="29"/>
      <c r="F71" s="81">
        <f>B71*F70</f>
        <v>0</v>
      </c>
      <c r="G71" s="107">
        <f>B71*G70</f>
        <v>16.641926505146142</v>
      </c>
      <c r="H71" s="31">
        <f>B71*H70-0</f>
        <v>12.808073494853859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29.45</v>
      </c>
      <c r="C72" s="117"/>
      <c r="D72" s="7"/>
      <c r="E72" s="1"/>
      <c r="F72" s="71">
        <f>F71</f>
        <v>0</v>
      </c>
      <c r="G72" s="71">
        <f>G71</f>
        <v>16.641926505146142</v>
      </c>
      <c r="H72" s="118">
        <f>H71</f>
        <v>12.808073494853859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13127.31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9910.48</v>
      </c>
      <c r="C77" s="130"/>
      <c r="D77" s="131" t="s">
        <v>100</v>
      </c>
      <c r="E77" s="6"/>
      <c r="F77" s="6"/>
      <c r="G77" s="132"/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9910.48</v>
      </c>
      <c r="C80" s="130"/>
      <c r="D80" s="131"/>
      <c r="E80" s="6"/>
      <c r="F80" s="6"/>
      <c r="G80" s="129">
        <f>SUM(G77:G79)</f>
        <v>0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13097.86</v>
      </c>
      <c r="C81" s="3"/>
      <c r="D81" s="4"/>
      <c r="E81" s="5"/>
      <c r="F81" s="5"/>
      <c r="G81" s="5"/>
      <c r="H81" s="128" t="str">
        <f>IF(B80-G80=0,"ok","NO")</f>
        <v>NO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29.45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13127.310000000001</v>
      </c>
      <c r="C83" s="128" t="str">
        <f>IF(B75=B83,"ok","NO")</f>
        <v>ok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0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B1B39-0778-4113-9B70-76B7C4981A57}">
  <sheetPr>
    <tabColor rgb="FF00B050"/>
    <pageSetUpPr fitToPage="1"/>
  </sheetPr>
  <dimension ref="A2:Z99"/>
  <sheetViews>
    <sheetView zoomScale="70" zoomScaleNormal="70" zoomScalePageLayoutView="70" workbookViewId="0">
      <selection activeCell="O26" sqref="O26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5.375" style="3" bestFit="1" customWidth="1"/>
    <col min="4" max="4" width="11.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44192</v>
      </c>
      <c r="K2" s="9"/>
      <c r="M2" s="5" t="s">
        <v>1</v>
      </c>
    </row>
    <row r="3" spans="1:19" x14ac:dyDescent="0.25">
      <c r="A3" s="10" t="s">
        <v>2</v>
      </c>
      <c r="B3" s="8">
        <v>44185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0.5</v>
      </c>
    </row>
    <row r="7" spans="1:19" x14ac:dyDescent="0.25">
      <c r="A7" s="25" t="s">
        <v>14</v>
      </c>
      <c r="B7" s="26"/>
      <c r="C7" s="27"/>
      <c r="D7" s="28"/>
      <c r="E7" s="29"/>
      <c r="F7" s="30"/>
      <c r="G7" s="30"/>
      <c r="H7" s="31">
        <f t="shared" ref="H7:H31" si="0">B7-F7-G7</f>
        <v>0</v>
      </c>
      <c r="I7" s="12">
        <v>1</v>
      </c>
      <c r="J7" s="13">
        <v>6500</v>
      </c>
      <c r="K7" s="32">
        <f>H7+H31-H29</f>
        <v>0</v>
      </c>
      <c r="M7" s="5" t="s">
        <v>15</v>
      </c>
      <c r="P7" s="5">
        <v>1</v>
      </c>
      <c r="Q7" s="13">
        <v>6500</v>
      </c>
      <c r="R7" s="33">
        <f>+K7*$R$6</f>
        <v>0</v>
      </c>
      <c r="S7" s="32"/>
    </row>
    <row r="8" spans="1:19" x14ac:dyDescent="0.25">
      <c r="A8" s="34" t="s">
        <v>16</v>
      </c>
      <c r="B8" s="35"/>
      <c r="C8" s="27"/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/>
      <c r="C10" s="27"/>
      <c r="F10" s="35"/>
      <c r="G10" s="35"/>
      <c r="H10" s="37">
        <f t="shared" si="0"/>
        <v>0</v>
      </c>
      <c r="I10" s="12">
        <v>1</v>
      </c>
      <c r="J10" s="13">
        <v>6580</v>
      </c>
      <c r="K10" s="32">
        <f>ROUND($H$42+$H$43+$H$44+$H$45-$H$15+$H$46,2)</f>
        <v>0</v>
      </c>
      <c r="M10" s="39" t="s">
        <v>21</v>
      </c>
      <c r="P10" s="5">
        <v>1</v>
      </c>
      <c r="Q10" s="13">
        <v>6580</v>
      </c>
      <c r="R10" s="33">
        <f>+K10*$R$6</f>
        <v>0</v>
      </c>
      <c r="S10" s="32"/>
    </row>
    <row r="11" spans="1:19" x14ac:dyDescent="0.25">
      <c r="A11" s="34" t="s">
        <v>22</v>
      </c>
      <c r="B11" s="40"/>
      <c r="C11" s="27"/>
      <c r="F11" s="41"/>
      <c r="G11" s="41"/>
      <c r="H11" s="37">
        <f t="shared" si="0"/>
        <v>0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/>
      <c r="C12" s="27"/>
      <c r="F12" s="41"/>
      <c r="G12" s="41"/>
      <c r="H12" s="37">
        <f t="shared" si="0"/>
        <v>0</v>
      </c>
      <c r="I12" s="12">
        <v>1</v>
      </c>
      <c r="J12" s="13">
        <v>6570</v>
      </c>
      <c r="K12" s="32">
        <f>-H23+H51+H58</f>
        <v>0</v>
      </c>
      <c r="M12" s="5" t="s">
        <v>25</v>
      </c>
      <c r="P12" s="5">
        <v>1</v>
      </c>
      <c r="Q12" s="13">
        <v>6570</v>
      </c>
      <c r="R12" s="33">
        <f>+K12*R6</f>
        <v>0</v>
      </c>
      <c r="S12" s="32"/>
    </row>
    <row r="13" spans="1:19" x14ac:dyDescent="0.25">
      <c r="A13" s="34" t="s">
        <v>26</v>
      </c>
      <c r="B13" s="42"/>
      <c r="C13" s="27"/>
      <c r="F13" s="41"/>
      <c r="G13" s="41"/>
      <c r="H13" s="37">
        <f t="shared" si="0"/>
        <v>0</v>
      </c>
      <c r="I13" s="12">
        <v>1</v>
      </c>
      <c r="J13" s="13">
        <v>6571</v>
      </c>
      <c r="K13" s="32">
        <f>ROUND(H55,2)</f>
        <v>0</v>
      </c>
      <c r="M13" s="43" t="s">
        <v>27</v>
      </c>
      <c r="P13" s="5">
        <v>1</v>
      </c>
      <c r="Q13" s="13">
        <v>6571</v>
      </c>
      <c r="R13" s="33">
        <f>+K13*$R$6</f>
        <v>0</v>
      </c>
      <c r="S13" s="32"/>
    </row>
    <row r="14" spans="1:19" x14ac:dyDescent="0.25">
      <c r="A14" s="34" t="s">
        <v>28</v>
      </c>
      <c r="B14" s="42"/>
      <c r="C14" s="27"/>
      <c r="F14" s="41"/>
      <c r="G14" s="41"/>
      <c r="H14" s="37">
        <f t="shared" si="0"/>
        <v>0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/>
      <c r="C15" s="27"/>
      <c r="F15" s="44"/>
      <c r="G15" s="44"/>
      <c r="H15" s="37">
        <f t="shared" si="0"/>
        <v>0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/>
    </row>
    <row r="16" spans="1:19" ht="18.75" thickBot="1" x14ac:dyDescent="0.3">
      <c r="A16" s="34" t="s">
        <v>33</v>
      </c>
      <c r="B16" s="51"/>
      <c r="C16" s="27"/>
      <c r="D16" s="7"/>
      <c r="F16" s="44"/>
      <c r="G16" s="44"/>
      <c r="H16" s="37">
        <f t="shared" si="0"/>
        <v>0</v>
      </c>
      <c r="I16" s="52">
        <v>1</v>
      </c>
      <c r="J16" s="10">
        <v>2120</v>
      </c>
      <c r="K16" s="21">
        <f>-H16</f>
        <v>0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0</v>
      </c>
      <c r="S16" s="32"/>
    </row>
    <row r="17" spans="1:26" x14ac:dyDescent="0.25">
      <c r="A17" s="34" t="s">
        <v>35</v>
      </c>
      <c r="B17" s="40"/>
      <c r="C17" s="27"/>
      <c r="D17" s="54"/>
      <c r="F17" s="41"/>
      <c r="G17" s="55"/>
      <c r="H17" s="37">
        <f t="shared" si="0"/>
        <v>0</v>
      </c>
      <c r="I17" s="12">
        <v>1</v>
      </c>
      <c r="J17" s="13">
        <v>1830</v>
      </c>
      <c r="K17" s="56">
        <f>ROUND(-H20-H27-H17-H18-H21-H26-H28,2)</f>
        <v>0</v>
      </c>
      <c r="M17" s="5" t="s">
        <v>36</v>
      </c>
      <c r="P17" s="5">
        <v>1</v>
      </c>
      <c r="Q17" s="13">
        <v>1830</v>
      </c>
      <c r="R17" s="33">
        <f>+K17*$R$6</f>
        <v>0</v>
      </c>
      <c r="S17" s="32"/>
    </row>
    <row r="18" spans="1:26" x14ac:dyDescent="0.25">
      <c r="A18" s="34" t="s">
        <v>37</v>
      </c>
      <c r="B18" s="42"/>
      <c r="C18" s="27"/>
      <c r="D18" s="54"/>
      <c r="F18" s="41"/>
      <c r="G18" s="44"/>
      <c r="H18" s="37">
        <f t="shared" si="0"/>
        <v>0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42"/>
      <c r="C19" s="27"/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0</v>
      </c>
      <c r="M19" s="5" t="s">
        <v>40</v>
      </c>
      <c r="P19" s="5">
        <v>1</v>
      </c>
      <c r="Q19" s="13">
        <v>6300</v>
      </c>
      <c r="R19" s="33">
        <f>+K19*$R$6</f>
        <v>0</v>
      </c>
      <c r="S19" s="32"/>
    </row>
    <row r="20" spans="1:26" x14ac:dyDescent="0.25">
      <c r="A20" s="34" t="s">
        <v>41</v>
      </c>
      <c r="B20" s="42"/>
      <c r="C20" s="27"/>
      <c r="F20" s="41"/>
      <c r="G20" s="44"/>
      <c r="H20" s="37">
        <f t="shared" si="0"/>
        <v>0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42"/>
      <c r="C21" s="27"/>
      <c r="D21" s="54"/>
      <c r="F21" s="41"/>
      <c r="G21" s="44"/>
      <c r="H21" s="37">
        <f t="shared" si="0"/>
        <v>0</v>
      </c>
      <c r="I21" s="12">
        <v>1</v>
      </c>
      <c r="J21" s="13">
        <v>6630</v>
      </c>
      <c r="K21" s="32"/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42"/>
      <c r="C22" s="27"/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42"/>
      <c r="C23" s="27"/>
      <c r="F23" s="44"/>
      <c r="G23" s="44"/>
      <c r="H23" s="37">
        <f t="shared" si="0"/>
        <v>0</v>
      </c>
      <c r="I23" s="12"/>
      <c r="J23" s="13"/>
      <c r="K23" s="59">
        <f>SUM(K7:K22)</f>
        <v>0</v>
      </c>
      <c r="N23" s="1">
        <v>2040</v>
      </c>
      <c r="P23" s="5">
        <v>1</v>
      </c>
      <c r="Q23" s="13">
        <v>2040</v>
      </c>
      <c r="R23" s="60">
        <f>SUM(R7:R22)</f>
        <v>0</v>
      </c>
      <c r="S23" s="6"/>
      <c r="V23" s="32"/>
    </row>
    <row r="24" spans="1:26" ht="18.75" thickTop="1" x14ac:dyDescent="0.25">
      <c r="A24" s="34" t="s">
        <v>48</v>
      </c>
      <c r="B24" s="42"/>
      <c r="C24" s="27"/>
      <c r="F24" s="41"/>
      <c r="G24" s="44"/>
      <c r="H24" s="37">
        <f t="shared" si="0"/>
        <v>0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42"/>
      <c r="C25" s="27"/>
      <c r="F25" s="44"/>
      <c r="G25" s="44"/>
      <c r="H25" s="37">
        <f t="shared" si="0"/>
        <v>0</v>
      </c>
      <c r="I25" s="61">
        <v>2</v>
      </c>
      <c r="J25" s="62"/>
      <c r="K25" s="32"/>
      <c r="Q25" s="62"/>
      <c r="R25" s="33"/>
      <c r="V25" s="32"/>
    </row>
    <row r="26" spans="1:26" x14ac:dyDescent="0.25">
      <c r="A26" s="34" t="s">
        <v>50</v>
      </c>
      <c r="B26" s="42"/>
      <c r="C26" s="27"/>
      <c r="D26" s="54"/>
      <c r="F26" s="41"/>
      <c r="G26" s="55"/>
      <c r="H26" s="37">
        <f t="shared" si="0"/>
        <v>0</v>
      </c>
      <c r="I26" s="12">
        <v>2</v>
      </c>
      <c r="J26" s="13">
        <v>6500</v>
      </c>
      <c r="K26" s="32">
        <f>G7+G31-G29</f>
        <v>0</v>
      </c>
      <c r="M26" s="5" t="s">
        <v>51</v>
      </c>
      <c r="O26" s="32"/>
      <c r="P26" s="5">
        <v>2</v>
      </c>
      <c r="Q26" s="13">
        <v>6500</v>
      </c>
      <c r="R26" s="33">
        <f>+K26*R6</f>
        <v>0</v>
      </c>
      <c r="S26" s="32"/>
      <c r="X26" s="32"/>
    </row>
    <row r="27" spans="1:26" x14ac:dyDescent="0.25">
      <c r="A27" s="34" t="s">
        <v>52</v>
      </c>
      <c r="B27" s="42"/>
      <c r="C27" s="63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51"/>
      <c r="C28" s="27"/>
      <c r="D28" s="54"/>
      <c r="F28" s="44"/>
      <c r="G28" s="44"/>
      <c r="H28" s="37">
        <f t="shared" si="0"/>
        <v>0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168"/>
      <c r="C29" s="65">
        <f t="shared" ref="C29:C30" si="1">B29-F29-G29-H29</f>
        <v>0</v>
      </c>
      <c r="D29" s="172">
        <v>6500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0</v>
      </c>
      <c r="M29" s="39" t="s">
        <v>21</v>
      </c>
      <c r="P29" s="5">
        <v>2</v>
      </c>
      <c r="Q29" s="13">
        <v>6580</v>
      </c>
      <c r="R29" s="33">
        <f>+K29*R6</f>
        <v>0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0</v>
      </c>
      <c r="M31" s="5" t="s">
        <v>25</v>
      </c>
      <c r="P31" s="5">
        <v>2</v>
      </c>
      <c r="Q31" s="13">
        <v>6570</v>
      </c>
      <c r="R31" s="33">
        <f>+K31*$R$6</f>
        <v>0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B7+B8+B10-B11-B12-B13-B14-B15-B16-B19-B29-B20-B26-B25-B28-B17-B21-B18-B23-B22-B24+B30+B31-B27+B9</f>
        <v>0</v>
      </c>
      <c r="C32" s="72">
        <f>B32-F32-G32-H32</f>
        <v>0</v>
      </c>
      <c r="D32" s="71"/>
      <c r="E32" s="71"/>
      <c r="F32" s="71">
        <f>F7+F8+F10-F11-F12-F13-F14-F15-F16-F19-F29-F20-F26-F25-F28-F17-F21-F18-F23-F22-F24+F30+F31-F27+F9</f>
        <v>0</v>
      </c>
      <c r="G32" s="71">
        <f>G7+G8+G10-G11-G12-G13-G14-G15-G16-G19-G29-G20-G26-G25-G28-G17-G21-G18-G23-G22-G24+G30+G31-G27+G9</f>
        <v>0</v>
      </c>
      <c r="H32" s="71">
        <f>H7+H8+H10-H11-H12-H13-H14-H15-H16-H19-H29-H20-H26-H25-H28-H17-H21-H18-H23-H22-H24+H30+H31</f>
        <v>0</v>
      </c>
      <c r="I32" s="12">
        <v>2</v>
      </c>
      <c r="J32" s="13">
        <v>6571</v>
      </c>
      <c r="K32" s="32">
        <f>G55</f>
        <v>0</v>
      </c>
      <c r="M32" s="43" t="s">
        <v>27</v>
      </c>
      <c r="P32" s="5">
        <v>2</v>
      </c>
      <c r="Q32" s="13">
        <v>6571</v>
      </c>
      <c r="R32" s="33">
        <f>+K32*$R$6</f>
        <v>0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/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0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0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ROUND(-G17-G18-G20-G21-G26-G28,2)</f>
        <v>0</v>
      </c>
      <c r="M36" s="5" t="s">
        <v>36</v>
      </c>
      <c r="O36" s="1"/>
      <c r="P36" s="5">
        <v>2</v>
      </c>
      <c r="Q36" s="13">
        <v>1830</v>
      </c>
      <c r="R36" s="33">
        <f>+K36*$R$6</f>
        <v>0</v>
      </c>
      <c r="S36" s="32"/>
    </row>
    <row r="37" spans="1:22" x14ac:dyDescent="0.25">
      <c r="A37" s="25" t="s">
        <v>66</v>
      </c>
      <c r="B37" s="80">
        <f>B11</f>
        <v>0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0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0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0</v>
      </c>
      <c r="I38" s="12">
        <v>2</v>
      </c>
      <c r="J38" s="13">
        <v>6300</v>
      </c>
      <c r="K38" s="84">
        <f>ROUND(G70,2)</f>
        <v>0</v>
      </c>
      <c r="M38" s="5" t="s">
        <v>40</v>
      </c>
      <c r="O38" s="1"/>
      <c r="P38" s="5">
        <v>2</v>
      </c>
      <c r="Q38" s="13">
        <v>6300</v>
      </c>
      <c r="R38" s="33">
        <f>+K38*$R$6</f>
        <v>0</v>
      </c>
      <c r="S38" s="32"/>
    </row>
    <row r="39" spans="1:22" x14ac:dyDescent="0.25">
      <c r="A39" s="34" t="s">
        <v>68</v>
      </c>
      <c r="B39" s="83">
        <f>B13</f>
        <v>0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0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0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0</v>
      </c>
      <c r="I40" s="85"/>
      <c r="J40" s="5">
        <v>2040</v>
      </c>
      <c r="K40" s="86">
        <f>SUM(K26:K39)</f>
        <v>0</v>
      </c>
      <c r="N40" s="1">
        <v>2040</v>
      </c>
      <c r="O40" s="1"/>
      <c r="P40" s="5">
        <v>2</v>
      </c>
      <c r="Q40" s="5">
        <v>2040</v>
      </c>
      <c r="R40" s="86">
        <f>SUM(R26:R39)</f>
        <v>0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/>
      <c r="C42" s="27">
        <f>B42-F42-G42-H42</f>
        <v>0</v>
      </c>
      <c r="D42" s="4">
        <v>6580</v>
      </c>
      <c r="F42" s="90"/>
      <c r="G42" s="90"/>
      <c r="H42" s="37">
        <f>B42-F42-G42</f>
        <v>0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/>
      <c r="C43" s="27">
        <f>B43-F43-G43-H43</f>
        <v>0</v>
      </c>
      <c r="D43" s="4">
        <v>6580</v>
      </c>
      <c r="F43" s="90"/>
      <c r="G43" s="90"/>
      <c r="H43" s="37">
        <f>B43-F43-G43</f>
        <v>0</v>
      </c>
      <c r="I43" s="12">
        <v>3</v>
      </c>
      <c r="J43" s="13">
        <v>6500</v>
      </c>
      <c r="K43" s="92">
        <f>F7+F31-F29</f>
        <v>0</v>
      </c>
      <c r="M43" s="5" t="s">
        <v>71</v>
      </c>
      <c r="O43" s="1"/>
      <c r="P43" s="5">
        <v>3</v>
      </c>
      <c r="Q43" s="13">
        <v>6500</v>
      </c>
      <c r="R43" s="33">
        <f>+K43*$R$6</f>
        <v>0</v>
      </c>
      <c r="S43" s="32"/>
    </row>
    <row r="44" spans="1:22" x14ac:dyDescent="0.25">
      <c r="A44" s="34" t="s">
        <v>72</v>
      </c>
      <c r="B44" s="89"/>
      <c r="C44" s="27">
        <f>B44-F44-G44-H44</f>
        <v>0</v>
      </c>
      <c r="D44" s="4">
        <v>6580</v>
      </c>
      <c r="F44" s="90"/>
      <c r="G44" s="91"/>
      <c r="H44" s="37">
        <f>B44-G44-F44</f>
        <v>0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/>
      <c r="C45" s="27">
        <f>B45-F45-G45-H45</f>
        <v>0</v>
      </c>
      <c r="D45" s="4">
        <v>6580</v>
      </c>
      <c r="F45" s="90"/>
      <c r="G45" s="94"/>
      <c r="H45" s="37">
        <f>B45-G45-F45</f>
        <v>0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/>
      <c r="C46" s="27">
        <f>B46-F46-G46-H46</f>
        <v>0</v>
      </c>
      <c r="F46" s="96"/>
      <c r="G46" s="96"/>
      <c r="H46" s="37">
        <f>B46-G46-F46</f>
        <v>0</v>
      </c>
      <c r="I46" s="12">
        <v>3</v>
      </c>
      <c r="J46" s="13">
        <v>6580</v>
      </c>
      <c r="K46" s="32">
        <f>ROUND($F$42+$F$43+$F$44+$F$45-$F$15+$F$46,2)</f>
        <v>0</v>
      </c>
      <c r="M46" s="39" t="s">
        <v>21</v>
      </c>
      <c r="O46" s="1"/>
      <c r="P46" s="5">
        <v>3</v>
      </c>
      <c r="Q46" s="13">
        <v>6580</v>
      </c>
      <c r="R46" s="33">
        <f>+K46*$R$6</f>
        <v>0</v>
      </c>
      <c r="S46" s="32"/>
    </row>
    <row r="47" spans="1:22" ht="18.75" thickBot="1" x14ac:dyDescent="0.3">
      <c r="B47" s="97">
        <f>SUM(B42:B46)</f>
        <v>0</v>
      </c>
      <c r="C47" s="27">
        <f>B48-F47-G47-H47</f>
        <v>0</v>
      </c>
      <c r="D47" s="7"/>
      <c r="E47" s="1"/>
      <c r="F47" s="97">
        <f>SUM(F37:F46)</f>
        <v>0</v>
      </c>
      <c r="G47" s="97">
        <f>SUM(G37:G46)</f>
        <v>0</v>
      </c>
      <c r="H47" s="71">
        <f>SUM(H37:H46)</f>
        <v>0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0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0</v>
      </c>
      <c r="M48" s="5" t="s">
        <v>40</v>
      </c>
      <c r="O48" s="1"/>
      <c r="P48" s="5">
        <v>3</v>
      </c>
      <c r="Q48" s="13">
        <v>6300</v>
      </c>
      <c r="R48" s="33">
        <f>+K48*$R$6</f>
        <v>0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0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0</v>
      </c>
      <c r="S50" s="32"/>
    </row>
    <row r="51" spans="1:23" x14ac:dyDescent="0.25">
      <c r="A51" s="25" t="s">
        <v>78</v>
      </c>
      <c r="B51" s="80">
        <f>B23</f>
        <v>0</v>
      </c>
      <c r="C51" s="106"/>
      <c r="D51" s="28">
        <v>6570</v>
      </c>
      <c r="E51" s="29"/>
      <c r="F51" s="81">
        <f>F23</f>
        <v>0</v>
      </c>
      <c r="G51" s="107">
        <f>G23</f>
        <v>0</v>
      </c>
      <c r="H51" s="31">
        <f>B51-G51-F51</f>
        <v>0</v>
      </c>
      <c r="I51" s="12">
        <v>3</v>
      </c>
      <c r="J51" s="13">
        <v>1830</v>
      </c>
      <c r="K51" s="56">
        <f>-ROUND(F28,2)</f>
        <v>0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0</v>
      </c>
      <c r="M52" s="5" t="s">
        <v>25</v>
      </c>
      <c r="O52" s="1"/>
      <c r="P52" s="5">
        <v>3</v>
      </c>
      <c r="Q52" s="13">
        <v>6570</v>
      </c>
      <c r="R52" s="33">
        <f>+K52</f>
        <v>0</v>
      </c>
      <c r="S52" s="32"/>
    </row>
    <row r="53" spans="1:23" x14ac:dyDescent="0.25">
      <c r="A53" s="34" t="s">
        <v>60</v>
      </c>
      <c r="B53" s="108">
        <f>SUM(B51:B52)</f>
        <v>0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0</v>
      </c>
      <c r="M53" s="5" t="s">
        <v>27</v>
      </c>
      <c r="O53" s="1"/>
      <c r="P53" s="5">
        <v>3</v>
      </c>
      <c r="Q53" s="13">
        <v>6571</v>
      </c>
      <c r="R53" s="33">
        <f>+K53</f>
        <v>0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70"/>
      <c r="C55" s="111"/>
      <c r="D55" s="4">
        <v>6571</v>
      </c>
      <c r="F55" s="90"/>
      <c r="G55" s="90"/>
      <c r="H55" s="37">
        <f>B55-F55-G55</f>
        <v>0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71"/>
      <c r="C56" s="111"/>
      <c r="D56" s="4">
        <v>6571</v>
      </c>
      <c r="F56" s="93"/>
      <c r="G56" s="93"/>
      <c r="H56" s="37">
        <f>B56-F56-G56</f>
        <v>0</v>
      </c>
      <c r="I56" s="12"/>
      <c r="J56" s="13"/>
      <c r="K56" s="86">
        <f>SUM(K43:K55)</f>
        <v>0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0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/>
      <c r="C58" s="111"/>
      <c r="D58" s="4">
        <v>6570</v>
      </c>
      <c r="F58" s="88">
        <f>ROUND(B58*10%,2)</f>
        <v>0</v>
      </c>
      <c r="G58" s="88">
        <f>ROUND(B58*30%,2)</f>
        <v>0</v>
      </c>
      <c r="H58" s="37">
        <f>ROUND(B58-F58-G58,2)</f>
        <v>0</v>
      </c>
      <c r="I58" s="52">
        <v>1</v>
      </c>
      <c r="J58" s="10">
        <v>1012</v>
      </c>
      <c r="K58" s="113">
        <f>-(K23+K40+K56+K74+K84+K90)-K59</f>
        <v>0</v>
      </c>
      <c r="M58" s="1"/>
      <c r="N58" s="32">
        <f>+'[13]1012-CNB Checking'!$F$103</f>
        <v>59655.79</v>
      </c>
      <c r="O58" s="114">
        <f>+K58+N58+K59</f>
        <v>59655.79</v>
      </c>
      <c r="P58" s="32"/>
      <c r="R58" s="33"/>
    </row>
    <row r="59" spans="1:23" ht="18.75" thickTop="1" x14ac:dyDescent="0.25">
      <c r="A59" s="34" t="s">
        <v>48</v>
      </c>
      <c r="B59" s="83">
        <f>B24</f>
        <v>0</v>
      </c>
      <c r="C59" s="27"/>
      <c r="F59" s="88">
        <f>F24</f>
        <v>0</v>
      </c>
      <c r="G59" s="88">
        <f>G24</f>
        <v>0</v>
      </c>
      <c r="H59" s="37">
        <f>B59-F59-G59</f>
        <v>0</v>
      </c>
      <c r="I59" s="52">
        <v>1</v>
      </c>
      <c r="J59" s="10">
        <v>1012</v>
      </c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0</v>
      </c>
      <c r="C61" s="117"/>
      <c r="D61" s="7"/>
      <c r="E61" s="1"/>
      <c r="F61" s="71">
        <f>F51+F55</f>
        <v>0</v>
      </c>
      <c r="G61" s="71">
        <f>G51+G55</f>
        <v>0</v>
      </c>
      <c r="H61" s="118">
        <f>B61-G61</f>
        <v>0</v>
      </c>
      <c r="I61" s="115">
        <v>1</v>
      </c>
      <c r="J61" s="119">
        <v>1831</v>
      </c>
      <c r="K61" s="120"/>
      <c r="M61" s="5" t="s">
        <v>42</v>
      </c>
      <c r="O61" s="121"/>
      <c r="P61" s="115"/>
      <c r="Q61" s="119"/>
      <c r="R61" s="16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/>
      <c r="M62" s="5" t="s">
        <v>132</v>
      </c>
      <c r="O62" s="1"/>
      <c r="P62" s="115"/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O63" s="1"/>
      <c r="P63" s="85"/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/>
      <c r="R64" s="16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/>
      <c r="M65" s="5" t="s">
        <v>90</v>
      </c>
      <c r="O65" s="1"/>
      <c r="P65" s="85"/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/>
      <c r="M66" s="5" t="s">
        <v>133</v>
      </c>
      <c r="O66" s="1"/>
      <c r="P66" s="85"/>
      <c r="R66" s="16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/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/>
      <c r="C70" s="106"/>
      <c r="D70" s="28">
        <v>6300</v>
      </c>
      <c r="E70" s="29"/>
      <c r="F70" s="81">
        <f>B70*F69</f>
        <v>0</v>
      </c>
      <c r="G70" s="107">
        <f>B70*G69</f>
        <v>0</v>
      </c>
      <c r="H70" s="31">
        <f>B70*H69-0</f>
        <v>0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0</v>
      </c>
      <c r="G71" s="71">
        <f>G70</f>
        <v>0</v>
      </c>
      <c r="H71" s="118">
        <f>H70</f>
        <v>0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0</v>
      </c>
      <c r="F74" s="6"/>
      <c r="I74" s="85" t="s">
        <v>97</v>
      </c>
      <c r="K74" s="129">
        <f>SUM(K61:K73)</f>
        <v>0</v>
      </c>
      <c r="O74" s="1"/>
      <c r="R74" s="162"/>
    </row>
    <row r="75" spans="1:20" ht="18.75" thickBot="1" x14ac:dyDescent="0.3">
      <c r="F75" s="6"/>
      <c r="I75" s="85">
        <v>2</v>
      </c>
      <c r="J75" s="167">
        <v>6565</v>
      </c>
      <c r="K75" s="120"/>
      <c r="M75" s="5" t="s">
        <v>132</v>
      </c>
      <c r="O75" s="1"/>
      <c r="P75" s="85"/>
      <c r="Q75" s="119"/>
      <c r="R75" s="163"/>
      <c r="S75" s="32"/>
    </row>
    <row r="76" spans="1:20" x14ac:dyDescent="0.25">
      <c r="A76" s="129" t="s">
        <v>99</v>
      </c>
      <c r="B76" s="26"/>
      <c r="C76" s="130"/>
      <c r="D76" s="131" t="s">
        <v>100</v>
      </c>
      <c r="E76" s="6"/>
      <c r="F76" s="6"/>
      <c r="G76" s="132"/>
      <c r="H76" s="6"/>
      <c r="I76" s="85">
        <v>2</v>
      </c>
      <c r="J76" s="119">
        <v>1831</v>
      </c>
      <c r="K76" s="120"/>
      <c r="M76" s="5" t="s">
        <v>42</v>
      </c>
      <c r="O76" s="1"/>
      <c r="P76" s="85"/>
      <c r="Q76" s="119"/>
      <c r="R76" s="16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/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/>
      <c r="M78" s="5" t="s">
        <v>90</v>
      </c>
      <c r="O78" s="1"/>
      <c r="P78" s="85"/>
      <c r="R78" s="163"/>
      <c r="S78" s="32"/>
    </row>
    <row r="79" spans="1:20" ht="18.75" thickBot="1" x14ac:dyDescent="0.3">
      <c r="A79" s="134" t="s">
        <v>104</v>
      </c>
      <c r="B79" s="135">
        <f>ROUND(SUM(B76:B78),2)</f>
        <v>0</v>
      </c>
      <c r="C79" s="130"/>
      <c r="D79" s="131"/>
      <c r="E79" s="6"/>
      <c r="F79" s="6"/>
      <c r="G79" s="129">
        <f>SUM(G76:G78)</f>
        <v>0</v>
      </c>
      <c r="H79" s="6" t="s">
        <v>105</v>
      </c>
      <c r="I79" s="85">
        <v>2</v>
      </c>
      <c r="J79" s="5">
        <v>6551</v>
      </c>
      <c r="K79" s="120"/>
      <c r="M79" s="5" t="s">
        <v>91</v>
      </c>
      <c r="O79" s="1"/>
      <c r="P79" s="85"/>
      <c r="R79" s="163"/>
      <c r="S79" s="32"/>
    </row>
    <row r="80" spans="1:20" ht="18.75" thickBot="1" x14ac:dyDescent="0.3">
      <c r="A80" s="1" t="s">
        <v>106</v>
      </c>
      <c r="B80" s="26"/>
      <c r="H80" s="128" t="str">
        <f>IF(B79-G79=0,"ok","NO")</f>
        <v>ok</v>
      </c>
      <c r="I80" s="85">
        <v>2</v>
      </c>
      <c r="J80" s="5">
        <v>6040</v>
      </c>
      <c r="K80" s="120"/>
      <c r="M80" s="5" t="s">
        <v>131</v>
      </c>
      <c r="O80" s="1"/>
      <c r="P80" s="85"/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Q81" s="119"/>
      <c r="R81" s="163"/>
      <c r="S81" s="32"/>
    </row>
    <row r="82" spans="1:19" ht="18.75" thickBot="1" x14ac:dyDescent="0.3">
      <c r="B82" s="3">
        <f>+B80+B81</f>
        <v>0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0</v>
      </c>
      <c r="O84" s="1"/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/>
      <c r="Q85" s="5"/>
      <c r="R85" s="164"/>
      <c r="S85" s="32"/>
    </row>
    <row r="86" spans="1:19" s="33" customFormat="1" x14ac:dyDescent="0.25">
      <c r="A86" s="5"/>
      <c r="B86" s="32">
        <f>+B83+O58</f>
        <v>59655.79</v>
      </c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/>
      <c r="Q86" s="5"/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132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>
        <v>3</v>
      </c>
      <c r="B92" s="5"/>
      <c r="C92" s="5"/>
      <c r="D92" s="5"/>
      <c r="I92" s="85"/>
      <c r="K92" s="140">
        <f>+K74+K84+K90</f>
        <v>0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37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3741F-0EE3-4147-969A-73A97CDD5BFA}">
  <sheetPr>
    <tabColor rgb="FF00B0F0"/>
    <pageSetUpPr fitToPage="1"/>
  </sheetPr>
  <dimension ref="A2:Y100"/>
  <sheetViews>
    <sheetView zoomScale="70" zoomScaleNormal="70" zoomScalePageLayoutView="70" workbookViewId="0">
      <selection activeCell="B72" sqref="B72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2.875" style="3" customWidth="1"/>
    <col min="4" max="4" width="8.6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5.375" style="5" customWidth="1"/>
    <col min="13" max="13" width="3" style="5" customWidth="1"/>
    <col min="14" max="14" width="8.375" style="5" bestFit="1" customWidth="1"/>
    <col min="15" max="15" width="20" style="5" customWidth="1"/>
    <col min="16" max="16" width="20" style="5" hidden="1" customWidth="1"/>
    <col min="17" max="17" width="16.25" style="33" hidden="1" customWidth="1"/>
    <col min="18" max="18" width="13.625" style="33" hidden="1" customWidth="1"/>
    <col min="19" max="19" width="16.25" style="33" hidden="1" customWidth="1"/>
    <col min="20" max="20" width="13.625" style="33" hidden="1" customWidth="1"/>
    <col min="21" max="21" width="16.25" style="33" hidden="1" customWidth="1"/>
    <col min="22" max="22" width="13.625" style="33" hidden="1" customWidth="1"/>
    <col min="23" max="24" width="16.25" style="5" hidden="1" customWidth="1"/>
    <col min="25" max="25" width="12.875" style="5" bestFit="1" customWidth="1"/>
    <col min="26" max="26" width="10.5" style="5"/>
    <col min="27" max="27" width="14.25" style="5" bestFit="1" customWidth="1"/>
    <col min="28" max="28" width="11.75" style="5" bestFit="1" customWidth="1"/>
    <col min="29" max="32" width="10.5" style="5"/>
    <col min="33" max="33" width="19.75" style="5" bestFit="1" customWidth="1"/>
    <col min="34" max="16384" width="10.5" style="5"/>
  </cols>
  <sheetData>
    <row r="2" spans="1:24" ht="18.75" thickBot="1" x14ac:dyDescent="0.3">
      <c r="B2" s="142"/>
      <c r="F2" s="6"/>
      <c r="H2" s="7" t="s">
        <v>0</v>
      </c>
      <c r="J2" s="8">
        <v>43811</v>
      </c>
      <c r="K2" s="9"/>
      <c r="M2" s="5" t="s">
        <v>1</v>
      </c>
    </row>
    <row r="3" spans="1:24" ht="18.75" thickBot="1" x14ac:dyDescent="0.3">
      <c r="A3" s="10" t="s">
        <v>2</v>
      </c>
      <c r="B3" s="8">
        <v>43799</v>
      </c>
      <c r="D3" s="7"/>
      <c r="E3" s="7"/>
      <c r="F3" s="11"/>
      <c r="I3" s="12"/>
      <c r="J3" s="13"/>
      <c r="K3" s="14"/>
      <c r="L3" s="7"/>
      <c r="M3" s="7"/>
      <c r="Q3" s="176" t="s">
        <v>114</v>
      </c>
      <c r="R3" s="177"/>
      <c r="S3" s="178" t="s">
        <v>115</v>
      </c>
      <c r="T3" s="177"/>
      <c r="U3" s="178" t="s">
        <v>116</v>
      </c>
      <c r="V3" s="177"/>
      <c r="W3" s="179" t="s">
        <v>117</v>
      </c>
      <c r="X3" s="180"/>
    </row>
    <row r="4" spans="1:24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</row>
    <row r="5" spans="1:24" x14ac:dyDescent="0.25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  <c r="Q5" s="143" t="s">
        <v>118</v>
      </c>
      <c r="R5" s="143" t="s">
        <v>119</v>
      </c>
      <c r="S5" s="143" t="s">
        <v>118</v>
      </c>
      <c r="T5" s="143" t="s">
        <v>119</v>
      </c>
      <c r="U5" s="143" t="s">
        <v>118</v>
      </c>
      <c r="V5" s="143" t="s">
        <v>119</v>
      </c>
      <c r="W5" s="144" t="s">
        <v>118</v>
      </c>
      <c r="X5" s="144" t="s">
        <v>119</v>
      </c>
    </row>
    <row r="6" spans="1:24" ht="18.75" thickBot="1" x14ac:dyDescent="0.3">
      <c r="A6" s="10" t="s">
        <v>13</v>
      </c>
      <c r="B6" s="74"/>
      <c r="F6" s="6"/>
      <c r="I6" s="22">
        <v>1</v>
      </c>
      <c r="J6" s="23"/>
      <c r="Q6" s="145">
        <f>+Q8/(Q8+R8)</f>
        <v>0.72152296929681881</v>
      </c>
      <c r="R6" s="145">
        <f>+R8/(Q8+R8)</f>
        <v>0.27847703070318108</v>
      </c>
      <c r="S6" s="145">
        <f>+S8/(S8+T8)</f>
        <v>0.73055424555652626</v>
      </c>
      <c r="T6" s="145">
        <f>+T8/(S8+T8)</f>
        <v>0.26944575444347374</v>
      </c>
      <c r="U6" s="145">
        <f>+(U7+U8)/(U7+U8+V7+V8)</f>
        <v>0.69291944586967669</v>
      </c>
      <c r="V6" s="145">
        <f>+(V7+V8)/(V7+V8+U8+U7)</f>
        <v>0.3070805541303232</v>
      </c>
      <c r="W6" s="145">
        <f>+(W7+W8)/(W7+W8+X7+X8)</f>
        <v>0.71343273114454131</v>
      </c>
      <c r="X6" s="145">
        <f>+(X7+X8)/(X7+X8+W8+W7)</f>
        <v>0.28656726885545875</v>
      </c>
    </row>
    <row r="7" spans="1:24" x14ac:dyDescent="0.25">
      <c r="A7" s="25" t="s">
        <v>18</v>
      </c>
      <c r="B7" s="35">
        <v>-1100</v>
      </c>
      <c r="C7" s="173"/>
      <c r="D7" s="28"/>
      <c r="E7" s="29"/>
      <c r="F7" s="30"/>
      <c r="G7" s="146"/>
      <c r="H7" s="37">
        <f t="shared" ref="H7:H32" si="0">B7-F7-G7</f>
        <v>-1100</v>
      </c>
      <c r="I7" s="12">
        <v>1</v>
      </c>
      <c r="J7" s="13">
        <v>6510</v>
      </c>
      <c r="K7" s="32">
        <f>+H7</f>
        <v>-1100</v>
      </c>
      <c r="M7" s="5" t="s">
        <v>19</v>
      </c>
      <c r="P7" s="1">
        <f>+J7</f>
        <v>6510</v>
      </c>
      <c r="U7" s="33">
        <v>123</v>
      </c>
      <c r="V7" s="33">
        <v>174</v>
      </c>
      <c r="W7" s="32">
        <f>+U7</f>
        <v>123</v>
      </c>
      <c r="X7" s="32">
        <f>+V7</f>
        <v>174</v>
      </c>
    </row>
    <row r="8" spans="1:24" x14ac:dyDescent="0.25">
      <c r="A8" s="34" t="s">
        <v>16</v>
      </c>
      <c r="B8" s="35"/>
      <c r="C8" s="173"/>
      <c r="F8" s="127"/>
      <c r="G8" s="127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1">
        <f>+J8</f>
        <v>6505</v>
      </c>
      <c r="Q8" s="33">
        <v>2018.41</v>
      </c>
      <c r="R8" s="33">
        <v>779.02</v>
      </c>
      <c r="S8" s="33">
        <v>944.95</v>
      </c>
      <c r="T8" s="33">
        <v>348.52</v>
      </c>
      <c r="U8" s="33">
        <v>1389.56</v>
      </c>
      <c r="V8" s="33">
        <v>496.32</v>
      </c>
      <c r="W8" s="32">
        <f>+U8+S8+Q8</f>
        <v>4352.92</v>
      </c>
      <c r="X8" s="32">
        <f>+V8+T8+R8</f>
        <v>1623.86</v>
      </c>
    </row>
    <row r="9" spans="1:24" x14ac:dyDescent="0.25">
      <c r="A9" s="34" t="s">
        <v>127</v>
      </c>
      <c r="B9" s="35"/>
      <c r="C9" s="173"/>
      <c r="F9" s="127"/>
      <c r="G9" s="36"/>
      <c r="H9" s="37">
        <f t="shared" si="0"/>
        <v>0</v>
      </c>
      <c r="I9" s="12">
        <v>1</v>
      </c>
      <c r="J9" s="13">
        <v>6500</v>
      </c>
      <c r="K9" s="32">
        <f>+H9</f>
        <v>0</v>
      </c>
      <c r="L9" s="32"/>
      <c r="M9" s="5" t="s">
        <v>128</v>
      </c>
      <c r="P9" s="1"/>
      <c r="W9" s="32"/>
      <c r="X9" s="32"/>
    </row>
    <row r="10" spans="1:24" ht="18.75" thickBot="1" x14ac:dyDescent="0.3">
      <c r="A10" s="34" t="s">
        <v>120</v>
      </c>
      <c r="B10" s="147"/>
      <c r="C10" s="173"/>
      <c r="F10" s="148"/>
      <c r="G10" s="148"/>
      <c r="H10" s="37">
        <f t="shared" si="0"/>
        <v>0</v>
      </c>
      <c r="I10" s="12">
        <v>1</v>
      </c>
      <c r="J10" s="13">
        <v>6580</v>
      </c>
      <c r="K10" s="32">
        <f>ROUND(H43+H44+H45+H46-H16+H47,2)</f>
        <v>-84.15</v>
      </c>
      <c r="L10" s="145"/>
      <c r="M10" s="39" t="s">
        <v>21</v>
      </c>
      <c r="P10" s="1"/>
    </row>
    <row r="11" spans="1:24" x14ac:dyDescent="0.25">
      <c r="A11" s="34" t="s">
        <v>20</v>
      </c>
      <c r="B11" s="149"/>
      <c r="C11" s="173"/>
      <c r="F11" s="150"/>
      <c r="G11" s="150"/>
      <c r="H11" s="37">
        <f t="shared" si="0"/>
        <v>0</v>
      </c>
      <c r="I11" s="12">
        <v>1</v>
      </c>
      <c r="J11" s="13">
        <v>6630</v>
      </c>
      <c r="K11" s="32">
        <f>ROUND(H10,2)</f>
        <v>0</v>
      </c>
      <c r="M11" s="39" t="s">
        <v>23</v>
      </c>
      <c r="P11" s="1">
        <f>+J10</f>
        <v>6580</v>
      </c>
      <c r="Q11" s="33">
        <f>+Q8*L29</f>
        <v>0</v>
      </c>
      <c r="R11" s="33">
        <f>+R8*L10</f>
        <v>0</v>
      </c>
      <c r="S11" s="33">
        <f>+S8*L29</f>
        <v>0</v>
      </c>
      <c r="T11" s="33">
        <f>+T8*L10</f>
        <v>0</v>
      </c>
      <c r="U11" s="33">
        <f>+(U7+U8)*L29</f>
        <v>0</v>
      </c>
      <c r="V11" s="33">
        <f>+(V7+V8)*L10</f>
        <v>0</v>
      </c>
      <c r="W11" s="32">
        <f>+U11+S11+Q11</f>
        <v>0</v>
      </c>
      <c r="X11" s="32">
        <f>+V11+T11+R11</f>
        <v>0</v>
      </c>
    </row>
    <row r="12" spans="1:24" x14ac:dyDescent="0.25">
      <c r="A12" s="34" t="s">
        <v>22</v>
      </c>
      <c r="B12" s="151">
        <v>-68.2</v>
      </c>
      <c r="C12" s="173"/>
      <c r="F12" s="41"/>
      <c r="G12" s="41"/>
      <c r="H12" s="37">
        <f>B12-F12-G12</f>
        <v>-68.2</v>
      </c>
      <c r="I12" s="12">
        <v>1</v>
      </c>
      <c r="J12" s="13">
        <v>6570</v>
      </c>
      <c r="K12" s="32">
        <f>-H24+H52+H59</f>
        <v>-29</v>
      </c>
      <c r="L12" s="145"/>
      <c r="M12" s="5" t="s">
        <v>25</v>
      </c>
      <c r="P12" s="1"/>
    </row>
    <row r="13" spans="1:24" x14ac:dyDescent="0.25">
      <c r="A13" s="34" t="s">
        <v>24</v>
      </c>
      <c r="B13" s="151">
        <v>-15.95</v>
      </c>
      <c r="C13" s="173"/>
      <c r="F13" s="41"/>
      <c r="G13" s="41"/>
      <c r="H13" s="37">
        <f t="shared" si="0"/>
        <v>-15.95</v>
      </c>
      <c r="I13" s="12">
        <v>1</v>
      </c>
      <c r="J13" s="13">
        <v>6571</v>
      </c>
      <c r="K13" s="32"/>
      <c r="M13" s="43" t="s">
        <v>27</v>
      </c>
      <c r="P13" s="1">
        <f>+J12</f>
        <v>6570</v>
      </c>
      <c r="Q13" s="33">
        <f>+Q8*L31</f>
        <v>0</v>
      </c>
      <c r="R13" s="33">
        <f>+R8*L12</f>
        <v>0</v>
      </c>
      <c r="S13" s="33">
        <f>+S8*L31</f>
        <v>0</v>
      </c>
      <c r="T13" s="33">
        <f>+T8*L12</f>
        <v>0</v>
      </c>
      <c r="U13" s="33">
        <f>+(U7+U8)*L31</f>
        <v>0</v>
      </c>
      <c r="V13" s="33">
        <f>+(V7+V8)*L12</f>
        <v>0</v>
      </c>
      <c r="W13" s="32">
        <f>+U13+S13+Q13</f>
        <v>0</v>
      </c>
      <c r="X13" s="32">
        <f>+V13+T13+R13</f>
        <v>0</v>
      </c>
    </row>
    <row r="14" spans="1:24" x14ac:dyDescent="0.25">
      <c r="A14" s="34" t="s">
        <v>26</v>
      </c>
      <c r="B14" s="151">
        <v>-45</v>
      </c>
      <c r="C14" s="173"/>
      <c r="F14" s="41"/>
      <c r="G14" s="41"/>
      <c r="H14" s="37">
        <f t="shared" si="0"/>
        <v>-45</v>
      </c>
      <c r="I14" s="12">
        <v>1</v>
      </c>
      <c r="J14" s="13">
        <v>6571</v>
      </c>
      <c r="K14" s="32">
        <f>+H56</f>
        <v>-17.600000000000001</v>
      </c>
      <c r="L14" s="145"/>
      <c r="M14" s="5" t="s">
        <v>61</v>
      </c>
      <c r="P14" s="1"/>
    </row>
    <row r="15" spans="1:24" x14ac:dyDescent="0.25">
      <c r="A15" s="34" t="s">
        <v>28</v>
      </c>
      <c r="B15" s="151"/>
      <c r="C15" s="173"/>
      <c r="F15" s="41"/>
      <c r="G15" s="41"/>
      <c r="H15" s="37">
        <f t="shared" si="0"/>
        <v>0</v>
      </c>
      <c r="I15" s="45"/>
      <c r="J15" s="46" t="s">
        <v>31</v>
      </c>
      <c r="K15" s="47">
        <f>H11-K76</f>
        <v>0</v>
      </c>
      <c r="L15" s="48"/>
      <c r="M15" s="48" t="s">
        <v>32</v>
      </c>
      <c r="N15" s="49"/>
      <c r="O15" s="48"/>
      <c r="P15" s="1">
        <f>+J14</f>
        <v>6571</v>
      </c>
      <c r="Q15" s="33">
        <f>+Q8*L32</f>
        <v>0</v>
      </c>
      <c r="R15" s="33">
        <f>+R8*L14</f>
        <v>0</v>
      </c>
      <c r="S15" s="33">
        <f>+S8*L32</f>
        <v>0</v>
      </c>
      <c r="T15" s="33">
        <f>+T8*L14</f>
        <v>0</v>
      </c>
      <c r="U15" s="33">
        <f>+(U7+U8)*L32</f>
        <v>0</v>
      </c>
      <c r="V15" s="33">
        <f>+(V7+V8)*L14</f>
        <v>0</v>
      </c>
      <c r="W15" s="32">
        <f>+U15+S15+Q15</f>
        <v>0</v>
      </c>
      <c r="X15" s="32">
        <f>+V15+T15+R15</f>
        <v>0</v>
      </c>
    </row>
    <row r="16" spans="1:24" ht="18.75" thickBot="1" x14ac:dyDescent="0.3">
      <c r="A16" s="34" t="s">
        <v>30</v>
      </c>
      <c r="B16" s="151"/>
      <c r="C16" s="173"/>
      <c r="F16" s="152"/>
      <c r="G16" s="44"/>
      <c r="H16" s="37">
        <f t="shared" si="0"/>
        <v>0</v>
      </c>
      <c r="I16" s="52">
        <v>1</v>
      </c>
      <c r="J16" s="10">
        <v>2120</v>
      </c>
      <c r="K16" s="21">
        <f>-H17</f>
        <v>1.7</v>
      </c>
      <c r="L16" s="1"/>
      <c r="M16" s="1" t="s">
        <v>34</v>
      </c>
      <c r="O16" s="1"/>
      <c r="P16" s="48"/>
      <c r="Q16" s="153">
        <f>SUM(Q7:Q15)</f>
        <v>2018.41</v>
      </c>
      <c r="R16" s="153">
        <f t="shared" ref="R16:X16" si="1">SUM(R7:R15)</f>
        <v>779.02</v>
      </c>
      <c r="S16" s="154">
        <f t="shared" si="1"/>
        <v>944.95</v>
      </c>
      <c r="T16" s="154">
        <f t="shared" si="1"/>
        <v>348.52</v>
      </c>
      <c r="U16" s="154">
        <f t="shared" si="1"/>
        <v>1512.56</v>
      </c>
      <c r="V16" s="154">
        <f t="shared" si="1"/>
        <v>670.31999999999994</v>
      </c>
      <c r="W16" s="154">
        <f t="shared" si="1"/>
        <v>4475.92</v>
      </c>
      <c r="X16" s="154">
        <f t="shared" si="1"/>
        <v>1797.86</v>
      </c>
    </row>
    <row r="17" spans="1:25" ht="19.5" thickTop="1" thickBot="1" x14ac:dyDescent="0.3">
      <c r="A17" s="34" t="s">
        <v>33</v>
      </c>
      <c r="B17" s="151">
        <v>-1.7</v>
      </c>
      <c r="C17" s="173"/>
      <c r="F17" s="152"/>
      <c r="G17" s="44"/>
      <c r="H17" s="37">
        <f t="shared" si="0"/>
        <v>-1.7</v>
      </c>
      <c r="I17" s="12">
        <v>1</v>
      </c>
      <c r="J17" s="13">
        <v>1830</v>
      </c>
      <c r="K17" s="32">
        <f>ROUND(-H21-H28-H18-H19-H22-H27-H29,2)</f>
        <v>0</v>
      </c>
      <c r="M17" s="5" t="s">
        <v>36</v>
      </c>
      <c r="P17" s="1"/>
    </row>
    <row r="18" spans="1:25" s="33" customFormat="1" x14ac:dyDescent="0.25">
      <c r="A18" s="34" t="s">
        <v>35</v>
      </c>
      <c r="B18" s="155"/>
      <c r="C18" s="173"/>
      <c r="D18" s="54"/>
      <c r="E18" s="5"/>
      <c r="F18" s="41"/>
      <c r="G18" s="55"/>
      <c r="H18" s="37">
        <f t="shared" si="0"/>
        <v>0</v>
      </c>
      <c r="I18" s="12">
        <v>1</v>
      </c>
      <c r="J18" s="13">
        <v>6610</v>
      </c>
      <c r="K18" s="82">
        <f>ROUND(H67,2)</f>
        <v>0</v>
      </c>
      <c r="L18" s="5"/>
      <c r="M18" s="5" t="s">
        <v>38</v>
      </c>
      <c r="N18" s="5"/>
      <c r="O18" s="5"/>
      <c r="P18" s="5"/>
      <c r="W18" s="5"/>
      <c r="X18" s="5"/>
      <c r="Y18" s="5"/>
    </row>
    <row r="19" spans="1:25" s="33" customFormat="1" x14ac:dyDescent="0.25">
      <c r="A19" s="34" t="s">
        <v>37</v>
      </c>
      <c r="B19" s="57"/>
      <c r="C19" s="173"/>
      <c r="D19" s="54"/>
      <c r="E19" s="5"/>
      <c r="F19" s="41"/>
      <c r="G19" s="44"/>
      <c r="H19" s="37">
        <f t="shared" si="0"/>
        <v>0</v>
      </c>
      <c r="I19" s="12">
        <v>1</v>
      </c>
      <c r="J19" s="13">
        <v>6300</v>
      </c>
      <c r="K19" s="82">
        <f>ROUND(H72,2)</f>
        <v>29.45</v>
      </c>
      <c r="L19" s="5"/>
      <c r="M19" s="5" t="s">
        <v>40</v>
      </c>
      <c r="N19" s="5"/>
      <c r="O19" s="5"/>
      <c r="P19" s="5"/>
      <c r="W19" s="5"/>
      <c r="X19" s="5"/>
      <c r="Y19" s="5"/>
    </row>
    <row r="20" spans="1:25" s="33" customFormat="1" x14ac:dyDescent="0.25">
      <c r="A20" s="34" t="s">
        <v>39</v>
      </c>
      <c r="B20" s="57"/>
      <c r="C20" s="173"/>
      <c r="D20" s="4"/>
      <c r="E20" s="5"/>
      <c r="F20" s="41"/>
      <c r="G20" s="55"/>
      <c r="H20" s="37">
        <f t="shared" si="0"/>
        <v>0</v>
      </c>
      <c r="I20" s="12">
        <v>1</v>
      </c>
      <c r="J20" s="13">
        <v>6940</v>
      </c>
      <c r="K20" s="82">
        <f>H31</f>
        <v>0</v>
      </c>
      <c r="L20" s="5"/>
      <c r="M20" s="5" t="s">
        <v>42</v>
      </c>
      <c r="N20" s="5"/>
      <c r="O20" s="5"/>
      <c r="P20" s="5"/>
      <c r="W20" s="5"/>
      <c r="X20" s="5"/>
      <c r="Y20" s="5"/>
    </row>
    <row r="21" spans="1:25" s="33" customFormat="1" x14ac:dyDescent="0.25">
      <c r="A21" s="34" t="s">
        <v>41</v>
      </c>
      <c r="B21" s="57"/>
      <c r="C21" s="173"/>
      <c r="D21" s="4"/>
      <c r="E21" s="5"/>
      <c r="F21" s="41"/>
      <c r="G21" s="44"/>
      <c r="H21" s="37">
        <f t="shared" si="0"/>
        <v>0</v>
      </c>
      <c r="I21" s="12">
        <v>1</v>
      </c>
      <c r="J21" s="13">
        <v>1830</v>
      </c>
      <c r="K21" s="32">
        <f>-H30</f>
        <v>0</v>
      </c>
      <c r="L21" s="5"/>
      <c r="M21" s="5" t="s">
        <v>121</v>
      </c>
      <c r="N21" s="5"/>
      <c r="O21" s="5"/>
      <c r="P21" s="5"/>
      <c r="W21" s="5"/>
      <c r="X21" s="5"/>
      <c r="Y21" s="5"/>
    </row>
    <row r="22" spans="1:25" s="33" customFormat="1" x14ac:dyDescent="0.25">
      <c r="A22" s="34" t="s">
        <v>43</v>
      </c>
      <c r="B22" s="57"/>
      <c r="C22" s="173"/>
      <c r="D22" s="54"/>
      <c r="E22" s="5"/>
      <c r="F22" s="41"/>
      <c r="G22" s="44"/>
      <c r="H22" s="37">
        <f t="shared" si="0"/>
        <v>0</v>
      </c>
      <c r="I22" s="12">
        <v>1</v>
      </c>
      <c r="J22" s="13">
        <v>1200</v>
      </c>
      <c r="K22" s="32"/>
      <c r="L22" s="5"/>
      <c r="M22" s="5" t="s">
        <v>46</v>
      </c>
      <c r="N22" s="5"/>
      <c r="O22" s="5"/>
      <c r="P22" s="5"/>
      <c r="W22" s="5"/>
      <c r="X22" s="5"/>
      <c r="Y22" s="5"/>
    </row>
    <row r="23" spans="1:25" s="33" customFormat="1" x14ac:dyDescent="0.25">
      <c r="A23" s="34" t="s">
        <v>45</v>
      </c>
      <c r="B23" s="57"/>
      <c r="C23" s="173"/>
      <c r="D23" s="4"/>
      <c r="E23" s="5"/>
      <c r="F23" s="41"/>
      <c r="G23" s="55"/>
      <c r="H23" s="37">
        <f t="shared" si="0"/>
        <v>0</v>
      </c>
      <c r="I23" s="12"/>
      <c r="J23" s="13"/>
      <c r="K23" s="59">
        <f>SUM(K7:K22)</f>
        <v>-1199.5999999999999</v>
      </c>
      <c r="L23" s="5"/>
      <c r="M23" s="5"/>
      <c r="N23" s="1">
        <v>2040</v>
      </c>
      <c r="O23" s="5"/>
      <c r="P23" s="5"/>
      <c r="W23" s="5"/>
      <c r="X23" s="5"/>
      <c r="Y23" s="5"/>
    </row>
    <row r="24" spans="1:25" s="33" customFormat="1" x14ac:dyDescent="0.25">
      <c r="A24" s="34" t="s">
        <v>47</v>
      </c>
      <c r="B24" s="57">
        <v>-33</v>
      </c>
      <c r="C24" s="173"/>
      <c r="D24" s="4"/>
      <c r="E24" s="5"/>
      <c r="F24" s="152"/>
      <c r="G24" s="44"/>
      <c r="H24" s="37">
        <f t="shared" si="0"/>
        <v>-33</v>
      </c>
      <c r="I24" s="12"/>
      <c r="J24" s="13"/>
      <c r="K24" s="32"/>
      <c r="L24" s="5"/>
      <c r="M24" s="5"/>
      <c r="N24" s="5"/>
      <c r="O24" s="5"/>
      <c r="P24" s="5"/>
      <c r="W24" s="5"/>
      <c r="X24" s="5"/>
      <c r="Y24" s="5"/>
    </row>
    <row r="25" spans="1:25" s="33" customFormat="1" x14ac:dyDescent="0.25">
      <c r="A25" s="34" t="s">
        <v>48</v>
      </c>
      <c r="B25" s="57"/>
      <c r="C25" s="173"/>
      <c r="D25" s="4"/>
      <c r="E25" s="5"/>
      <c r="F25" s="41"/>
      <c r="G25" s="44"/>
      <c r="H25" s="37">
        <f t="shared" si="0"/>
        <v>0</v>
      </c>
      <c r="I25" s="61">
        <v>2</v>
      </c>
      <c r="J25" s="62"/>
      <c r="K25" s="32"/>
      <c r="L25" s="5"/>
      <c r="M25" s="5"/>
      <c r="N25" s="5"/>
      <c r="O25" s="5"/>
      <c r="P25" s="5"/>
      <c r="W25" s="5"/>
      <c r="X25" s="5"/>
      <c r="Y25" s="5"/>
    </row>
    <row r="26" spans="1:25" s="33" customFormat="1" x14ac:dyDescent="0.25">
      <c r="A26" s="34" t="s">
        <v>49</v>
      </c>
      <c r="B26" s="57"/>
      <c r="C26" s="173"/>
      <c r="D26" s="4"/>
      <c r="E26" s="5"/>
      <c r="F26" s="44"/>
      <c r="G26" s="44"/>
      <c r="H26" s="37">
        <f t="shared" si="0"/>
        <v>0</v>
      </c>
      <c r="I26" s="12">
        <v>2</v>
      </c>
      <c r="J26" s="13">
        <v>6510</v>
      </c>
      <c r="K26" s="32">
        <f>+G7</f>
        <v>0</v>
      </c>
      <c r="L26" s="5"/>
      <c r="M26" s="5" t="s">
        <v>56</v>
      </c>
      <c r="N26" s="5"/>
      <c r="O26" s="5"/>
      <c r="P26" s="5"/>
      <c r="W26" s="5"/>
      <c r="X26" s="5"/>
      <c r="Y26" s="5"/>
    </row>
    <row r="27" spans="1:25" s="33" customFormat="1" x14ac:dyDescent="0.25">
      <c r="A27" s="34" t="s">
        <v>50</v>
      </c>
      <c r="B27" s="57"/>
      <c r="C27" s="173"/>
      <c r="D27" s="54"/>
      <c r="E27" s="5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L27" s="32"/>
      <c r="M27" s="5" t="s">
        <v>53</v>
      </c>
      <c r="N27" s="5"/>
      <c r="O27" s="5"/>
      <c r="P27" s="5"/>
      <c r="W27" s="5"/>
      <c r="X27" s="5"/>
      <c r="Y27" s="5"/>
    </row>
    <row r="28" spans="1:25" s="33" customFormat="1" x14ac:dyDescent="0.25">
      <c r="A28" s="34" t="s">
        <v>52</v>
      </c>
      <c r="B28" s="57"/>
      <c r="C28" s="174"/>
      <c r="D28" s="4"/>
      <c r="E28" s="5"/>
      <c r="F28" s="41"/>
      <c r="G28" s="55"/>
      <c r="H28" s="37">
        <f t="shared" si="0"/>
        <v>0</v>
      </c>
      <c r="I28" s="12">
        <v>2</v>
      </c>
      <c r="J28" s="13">
        <v>6500</v>
      </c>
      <c r="K28" s="32">
        <f>+G9</f>
        <v>0</v>
      </c>
      <c r="L28" s="32"/>
      <c r="M28" s="5" t="s">
        <v>130</v>
      </c>
      <c r="N28" s="5"/>
      <c r="O28" s="5"/>
      <c r="P28" s="5"/>
      <c r="W28" s="5"/>
      <c r="X28" s="5"/>
      <c r="Y28" s="5"/>
    </row>
    <row r="29" spans="1:25" s="33" customFormat="1" ht="18.75" thickBot="1" x14ac:dyDescent="0.3">
      <c r="A29" s="34" t="s">
        <v>55</v>
      </c>
      <c r="B29" s="64"/>
      <c r="C29" s="173"/>
      <c r="D29" s="54"/>
      <c r="E29" s="5"/>
      <c r="F29" s="41"/>
      <c r="G29" s="44"/>
      <c r="H29" s="37">
        <f t="shared" si="0"/>
        <v>0</v>
      </c>
      <c r="I29" s="12">
        <v>2</v>
      </c>
      <c r="J29" s="13">
        <v>6580</v>
      </c>
      <c r="K29" s="32">
        <f>-G16+G43+G44+G45+G46+G47</f>
        <v>0</v>
      </c>
      <c r="L29" s="145"/>
      <c r="M29" s="39" t="s">
        <v>21</v>
      </c>
      <c r="N29" s="5"/>
      <c r="O29" s="5"/>
      <c r="P29" s="5"/>
      <c r="W29" s="5"/>
      <c r="X29" s="5"/>
      <c r="Y29" s="5"/>
    </row>
    <row r="30" spans="1:25" s="33" customFormat="1" x14ac:dyDescent="0.25">
      <c r="A30" s="34" t="s">
        <v>57</v>
      </c>
      <c r="B30" s="57"/>
      <c r="C30" s="175"/>
      <c r="D30" s="54"/>
      <c r="E30" s="5"/>
      <c r="F30" s="66"/>
      <c r="G30" s="67"/>
      <c r="H30" s="37">
        <f t="shared" si="0"/>
        <v>0</v>
      </c>
      <c r="I30" s="12">
        <v>2</v>
      </c>
      <c r="J30" s="13">
        <v>6630</v>
      </c>
      <c r="K30" s="32">
        <f>G10</f>
        <v>0</v>
      </c>
      <c r="L30" s="5"/>
      <c r="M30" s="39" t="s">
        <v>23</v>
      </c>
      <c r="N30" s="5"/>
      <c r="O30" s="5"/>
      <c r="P30" s="5"/>
      <c r="W30" s="5"/>
      <c r="X30" s="5"/>
      <c r="Y30" s="5"/>
    </row>
    <row r="31" spans="1:25" s="33" customFormat="1" x14ac:dyDescent="0.25">
      <c r="A31" s="34" t="s">
        <v>58</v>
      </c>
      <c r="B31" s="57"/>
      <c r="C31" s="173"/>
      <c r="D31" s="4"/>
      <c r="E31" s="5"/>
      <c r="F31" s="68"/>
      <c r="G31" s="67"/>
      <c r="H31" s="37">
        <f t="shared" si="0"/>
        <v>0</v>
      </c>
      <c r="I31" s="12">
        <v>2</v>
      </c>
      <c r="J31" s="13">
        <v>6570</v>
      </c>
      <c r="K31" s="32">
        <f>-G24+G52+G59</f>
        <v>0</v>
      </c>
      <c r="L31" s="145"/>
      <c r="M31" s="5" t="s">
        <v>25</v>
      </c>
      <c r="N31" s="5"/>
      <c r="O31" s="5"/>
      <c r="P31" s="5"/>
      <c r="W31" s="5"/>
      <c r="X31" s="5"/>
      <c r="Y31" s="5"/>
    </row>
    <row r="32" spans="1:25" s="33" customFormat="1" x14ac:dyDescent="0.25">
      <c r="A32" s="34" t="s">
        <v>59</v>
      </c>
      <c r="B32" s="57"/>
      <c r="C32" s="173">
        <f t="shared" ref="C32" si="2">B32-F32-G32-H32</f>
        <v>0</v>
      </c>
      <c r="D32" s="4">
        <v>6500</v>
      </c>
      <c r="E32" s="5"/>
      <c r="F32" s="69"/>
      <c r="G32" s="70"/>
      <c r="H32" s="37">
        <f t="shared" si="0"/>
        <v>0</v>
      </c>
      <c r="I32" s="12">
        <v>2</v>
      </c>
      <c r="J32" s="13">
        <v>6571</v>
      </c>
      <c r="K32" s="32">
        <f>G56</f>
        <v>0</v>
      </c>
      <c r="L32" s="145"/>
      <c r="M32" s="43" t="s">
        <v>27</v>
      </c>
      <c r="N32" s="5"/>
      <c r="O32" s="5"/>
      <c r="P32" s="5"/>
      <c r="W32" s="5"/>
      <c r="X32" s="5"/>
      <c r="Y32" s="5"/>
    </row>
    <row r="33" spans="1:25" s="33" customFormat="1" ht="18.75" thickBot="1" x14ac:dyDescent="0.3">
      <c r="A33" s="34" t="s">
        <v>60</v>
      </c>
      <c r="B33" s="71">
        <f>B7+B8+B10+B11-B12-B13-B14-B15-B16-B17-B30-B21-B27-B26-B29-B18-B22-B19-B24-B23-B25+B31+B32-B20-B28+B9</f>
        <v>-936.14999999999986</v>
      </c>
      <c r="C33" s="72">
        <f>B33-F33-G33-H33</f>
        <v>1.7000000000000455</v>
      </c>
      <c r="D33" s="71"/>
      <c r="E33" s="71"/>
      <c r="F33" s="71">
        <f>F7+F8+F10+F11-F12-F13-F14-F15-F16-F30-F21-F27-F26-F29-F18-F22-F19-F24-F23-F25+F31+F32</f>
        <v>0</v>
      </c>
      <c r="G33" s="71">
        <f>G7+G8+G10+G11-G12-G13-G14-G15-G16-G30-G21-G27-G26-G29-G18-G22-G19-G24-G23-G25+G31+G32</f>
        <v>0</v>
      </c>
      <c r="H33" s="71">
        <f>H7+H8+H10+H11-H12-H13-H14-H15-H16-H30-H21-H27-H26-H29-H18-H22-H19-H24-H23-H25+H31+H32-H20-H28</f>
        <v>-937.84999999999991</v>
      </c>
      <c r="I33" s="12">
        <v>2</v>
      </c>
      <c r="J33" s="13">
        <v>6571</v>
      </c>
      <c r="K33" s="32"/>
      <c r="L33" s="145"/>
      <c r="M33" s="5" t="s">
        <v>61</v>
      </c>
      <c r="N33" s="5"/>
      <c r="O33" s="1"/>
      <c r="P33" s="1"/>
      <c r="W33" s="5"/>
      <c r="X33" s="5"/>
      <c r="Y33" s="5"/>
    </row>
    <row r="34" spans="1:25" s="33" customFormat="1" ht="19.5" thickTop="1" thickBot="1" x14ac:dyDescent="0.3">
      <c r="A34" s="73"/>
      <c r="B34" s="74"/>
      <c r="C34" s="74"/>
      <c r="D34" s="75"/>
      <c r="E34" s="76"/>
      <c r="F34" s="77"/>
      <c r="G34" s="78"/>
      <c r="H34" s="79"/>
      <c r="I34" s="45" t="s">
        <v>62</v>
      </c>
      <c r="J34" s="46" t="s">
        <v>63</v>
      </c>
      <c r="K34" s="47">
        <f>G11+G32-K83</f>
        <v>0</v>
      </c>
      <c r="L34" s="48"/>
      <c r="M34" s="48" t="s">
        <v>32</v>
      </c>
      <c r="N34" s="48"/>
      <c r="O34" s="48"/>
      <c r="P34" s="48"/>
      <c r="W34" s="5"/>
      <c r="X34" s="5"/>
      <c r="Y34" s="5"/>
    </row>
    <row r="35" spans="1:25" s="33" customFormat="1" x14ac:dyDescent="0.25">
      <c r="A35" s="1"/>
      <c r="B35" s="3"/>
      <c r="C35" s="3"/>
      <c r="D35" s="4"/>
      <c r="E35" s="5"/>
      <c r="F35" s="6"/>
      <c r="G35" s="32"/>
      <c r="H35" s="32">
        <v>0</v>
      </c>
      <c r="I35" s="52">
        <v>2</v>
      </c>
      <c r="J35" s="10">
        <v>2120</v>
      </c>
      <c r="K35" s="21">
        <f>-G17</f>
        <v>0</v>
      </c>
      <c r="L35" s="1"/>
      <c r="M35" s="1" t="s">
        <v>34</v>
      </c>
      <c r="N35" s="1"/>
      <c r="O35" s="1"/>
      <c r="P35" s="1"/>
      <c r="W35" s="5"/>
      <c r="X35" s="5"/>
      <c r="Y35" s="5"/>
    </row>
    <row r="36" spans="1:25" s="33" customFormat="1" x14ac:dyDescent="0.25">
      <c r="A36" s="1" t="s">
        <v>64</v>
      </c>
      <c r="B36" s="3"/>
      <c r="C36" s="3"/>
      <c r="D36" s="4"/>
      <c r="E36" s="5"/>
      <c r="F36" s="6"/>
      <c r="G36" s="32"/>
      <c r="H36" s="32"/>
      <c r="I36" s="12">
        <v>2</v>
      </c>
      <c r="J36" s="13">
        <v>1830</v>
      </c>
      <c r="K36" s="32">
        <f>ROUND(-G21-G28-G30-G18-G19-G22-G27-G29,2)</f>
        <v>0</v>
      </c>
      <c r="L36" s="5"/>
      <c r="M36" s="5" t="s">
        <v>36</v>
      </c>
      <c r="N36" s="5"/>
      <c r="O36" s="1"/>
      <c r="P36" s="1"/>
      <c r="W36" s="5"/>
      <c r="X36" s="5"/>
      <c r="Y36" s="5"/>
    </row>
    <row r="37" spans="1:25" s="33" customFormat="1" ht="18.75" thickBot="1" x14ac:dyDescent="0.3">
      <c r="A37" s="23" t="s">
        <v>65</v>
      </c>
      <c r="B37" s="3"/>
      <c r="C37" s="3"/>
      <c r="D37" s="4"/>
      <c r="E37" s="5"/>
      <c r="F37" s="6"/>
      <c r="G37" s="32"/>
      <c r="H37" s="32"/>
      <c r="I37" s="12">
        <v>2</v>
      </c>
      <c r="J37" s="13">
        <v>6610</v>
      </c>
      <c r="K37" s="82">
        <f>ROUND(G67,2)</f>
        <v>0</v>
      </c>
      <c r="L37" s="5"/>
      <c r="M37" s="5" t="s">
        <v>38</v>
      </c>
      <c r="N37" s="5"/>
      <c r="O37" s="1"/>
      <c r="P37" s="1"/>
      <c r="W37" s="5"/>
      <c r="X37" s="5"/>
      <c r="Y37" s="5"/>
    </row>
    <row r="38" spans="1:25" s="33" customFormat="1" x14ac:dyDescent="0.25">
      <c r="A38" s="25" t="s">
        <v>66</v>
      </c>
      <c r="B38" s="80">
        <f>B12</f>
        <v>-68.2</v>
      </c>
      <c r="C38" s="27">
        <f>B38-F38-G38-H38</f>
        <v>0</v>
      </c>
      <c r="D38" s="28">
        <v>2100</v>
      </c>
      <c r="E38" s="29"/>
      <c r="F38" s="81">
        <v>0</v>
      </c>
      <c r="G38" s="80">
        <v>0</v>
      </c>
      <c r="H38" s="31">
        <f>B38-G38-F38</f>
        <v>-68.2</v>
      </c>
      <c r="I38" s="12">
        <v>2</v>
      </c>
      <c r="J38" s="13">
        <v>6300</v>
      </c>
      <c r="K38" s="84">
        <f>ROUND(G72,2)</f>
        <v>0</v>
      </c>
      <c r="L38" s="5"/>
      <c r="M38" s="5" t="s">
        <v>40</v>
      </c>
      <c r="N38" s="5"/>
      <c r="O38" s="1"/>
      <c r="P38" s="1"/>
      <c r="W38" s="5"/>
      <c r="X38" s="5"/>
      <c r="Y38" s="5"/>
    </row>
    <row r="39" spans="1:25" s="33" customFormat="1" x14ac:dyDescent="0.25">
      <c r="A39" s="34" t="s">
        <v>67</v>
      </c>
      <c r="B39" s="83">
        <f>B13</f>
        <v>-15.95</v>
      </c>
      <c r="C39" s="27">
        <f>B39-F39-G39-H39</f>
        <v>0</v>
      </c>
      <c r="D39" s="4">
        <v>2100</v>
      </c>
      <c r="E39" s="5"/>
      <c r="F39" s="6">
        <v>0</v>
      </c>
      <c r="G39" s="83">
        <v>0</v>
      </c>
      <c r="H39" s="37">
        <f>B39-G39-F39</f>
        <v>-15.95</v>
      </c>
      <c r="I39" s="12">
        <v>2</v>
      </c>
      <c r="J39" s="13">
        <v>6940</v>
      </c>
      <c r="K39" s="32">
        <f>G31</f>
        <v>0</v>
      </c>
      <c r="L39" s="5"/>
      <c r="M39" s="5" t="s">
        <v>42</v>
      </c>
      <c r="N39" s="5"/>
      <c r="O39" s="1"/>
      <c r="P39" s="1"/>
      <c r="W39" s="5"/>
      <c r="X39" s="5"/>
      <c r="Y39" s="5"/>
    </row>
    <row r="40" spans="1:25" s="33" customFormat="1" ht="18.75" thickBot="1" x14ac:dyDescent="0.3">
      <c r="A40" s="34" t="s">
        <v>68</v>
      </c>
      <c r="B40" s="83">
        <f>B14</f>
        <v>-45</v>
      </c>
      <c r="C40" s="27">
        <f>B40-F40-G40-H40</f>
        <v>0</v>
      </c>
      <c r="D40" s="4">
        <v>2110</v>
      </c>
      <c r="E40" s="5"/>
      <c r="F40" s="6">
        <v>0</v>
      </c>
      <c r="G40" s="83">
        <v>0</v>
      </c>
      <c r="H40" s="37">
        <f>B40-G40-F40</f>
        <v>-45</v>
      </c>
      <c r="I40" s="85"/>
      <c r="J40" s="5"/>
      <c r="K40" s="86">
        <f>SUM(K26:K39)</f>
        <v>0</v>
      </c>
      <c r="L40" s="5"/>
      <c r="M40" s="5"/>
      <c r="N40" s="1">
        <v>2040</v>
      </c>
      <c r="O40" s="1"/>
      <c r="P40" s="1"/>
      <c r="W40" s="5"/>
      <c r="X40" s="5"/>
      <c r="Y40" s="5"/>
    </row>
    <row r="41" spans="1:25" s="33" customFormat="1" ht="18.75" thickTop="1" x14ac:dyDescent="0.25">
      <c r="A41" s="34" t="s">
        <v>69</v>
      </c>
      <c r="B41" s="83">
        <f>B15</f>
        <v>0</v>
      </c>
      <c r="C41" s="27">
        <f>B41-F41-G41-H41</f>
        <v>0</v>
      </c>
      <c r="D41" s="4">
        <v>2120</v>
      </c>
      <c r="E41" s="5"/>
      <c r="F41" s="6">
        <v>0</v>
      </c>
      <c r="G41" s="83">
        <v>0</v>
      </c>
      <c r="H41" s="37">
        <f>B41-G41-F41</f>
        <v>0</v>
      </c>
      <c r="I41" s="12"/>
      <c r="J41" s="13"/>
      <c r="K41" s="32"/>
      <c r="L41" s="5"/>
      <c r="M41" s="5"/>
      <c r="N41" s="5"/>
      <c r="O41" s="1"/>
      <c r="P41" s="1"/>
      <c r="W41" s="5"/>
      <c r="X41" s="5"/>
      <c r="Y41" s="5"/>
    </row>
    <row r="42" spans="1:25" s="33" customFormat="1" x14ac:dyDescent="0.25">
      <c r="A42" s="87" t="s">
        <v>70</v>
      </c>
      <c r="B42" s="83"/>
      <c r="C42" s="27"/>
      <c r="D42" s="4"/>
      <c r="E42" s="5"/>
      <c r="F42" s="6"/>
      <c r="G42" s="88"/>
      <c r="H42" s="37"/>
      <c r="I42" s="22">
        <v>3</v>
      </c>
      <c r="J42" s="23"/>
      <c r="K42" s="5"/>
      <c r="L42" s="5"/>
      <c r="M42" s="5"/>
      <c r="N42" s="5"/>
      <c r="O42" s="1"/>
      <c r="P42" s="1"/>
      <c r="W42" s="5"/>
      <c r="X42" s="5"/>
      <c r="Y42" s="5"/>
    </row>
    <row r="43" spans="1:25" s="33" customFormat="1" x14ac:dyDescent="0.25">
      <c r="A43" s="34" t="s">
        <v>66</v>
      </c>
      <c r="B43" s="89">
        <v>-68.2</v>
      </c>
      <c r="C43" s="27">
        <f>B43-F43-G43-H43</f>
        <v>0</v>
      </c>
      <c r="D43" s="4">
        <v>6580</v>
      </c>
      <c r="E43" s="5"/>
      <c r="F43" s="152"/>
      <c r="G43" s="152"/>
      <c r="H43" s="37">
        <f>B43-F43-G43</f>
        <v>-68.2</v>
      </c>
      <c r="I43" s="12">
        <v>3</v>
      </c>
      <c r="J43" s="13">
        <v>6510</v>
      </c>
      <c r="K43" s="92">
        <f>+F7</f>
        <v>0</v>
      </c>
      <c r="L43" s="5"/>
      <c r="M43" s="5" t="s">
        <v>75</v>
      </c>
      <c r="N43" s="5"/>
      <c r="O43" s="1"/>
      <c r="P43" s="1"/>
      <c r="W43" s="5"/>
      <c r="X43" s="5"/>
      <c r="Y43" s="5"/>
    </row>
    <row r="44" spans="1:25" s="33" customFormat="1" x14ac:dyDescent="0.25">
      <c r="A44" s="34" t="s">
        <v>67</v>
      </c>
      <c r="B44" s="89">
        <v>-15.95</v>
      </c>
      <c r="C44" s="27">
        <f>B44-F44-G44-H44</f>
        <v>0</v>
      </c>
      <c r="D44" s="4">
        <v>6580</v>
      </c>
      <c r="E44" s="5"/>
      <c r="F44" s="152"/>
      <c r="G44" s="152"/>
      <c r="H44" s="37">
        <f>B44-F44-G44</f>
        <v>-15.95</v>
      </c>
      <c r="I44" s="12">
        <v>3</v>
      </c>
      <c r="J44" s="13">
        <v>6505</v>
      </c>
      <c r="K44" s="92">
        <f>+F8</f>
        <v>0</v>
      </c>
      <c r="L44" s="5"/>
      <c r="M44" s="5" t="s">
        <v>73</v>
      </c>
      <c r="N44" s="5"/>
      <c r="O44" s="1"/>
      <c r="P44" s="1"/>
      <c r="W44" s="5"/>
      <c r="X44" s="5"/>
      <c r="Y44" s="5"/>
    </row>
    <row r="45" spans="1:25" s="33" customFormat="1" x14ac:dyDescent="0.25">
      <c r="A45" s="34" t="s">
        <v>72</v>
      </c>
      <c r="B45" s="89"/>
      <c r="C45" s="27">
        <f>B45-F45-G45-H45</f>
        <v>0</v>
      </c>
      <c r="D45" s="4">
        <v>6580</v>
      </c>
      <c r="E45" s="5"/>
      <c r="F45" s="90"/>
      <c r="G45" s="91"/>
      <c r="H45" s="37">
        <f>B45-G45-F45</f>
        <v>0</v>
      </c>
      <c r="I45" s="12"/>
      <c r="J45" s="13">
        <v>6500</v>
      </c>
      <c r="K45" s="92"/>
      <c r="L45" s="5"/>
      <c r="M45" s="5" t="s">
        <v>129</v>
      </c>
      <c r="N45" s="5"/>
      <c r="O45" s="1"/>
      <c r="P45" s="1"/>
      <c r="W45" s="5"/>
      <c r="X45" s="5"/>
      <c r="Y45" s="5"/>
    </row>
    <row r="46" spans="1:25" s="33" customFormat="1" x14ac:dyDescent="0.25">
      <c r="A46" s="34" t="s">
        <v>74</v>
      </c>
      <c r="B46" s="89"/>
      <c r="C46" s="27">
        <f>B46-F46-G46-H46</f>
        <v>0</v>
      </c>
      <c r="D46" s="4">
        <v>6580</v>
      </c>
      <c r="E46" s="5"/>
      <c r="F46" s="93"/>
      <c r="G46" s="94"/>
      <c r="H46" s="37">
        <f>B46-G46-F46</f>
        <v>0</v>
      </c>
      <c r="I46" s="12">
        <v>3</v>
      </c>
      <c r="J46" s="13">
        <v>6580</v>
      </c>
      <c r="K46" s="92">
        <f>-F16+F43+F44+F45+F46+F47</f>
        <v>0</v>
      </c>
      <c r="L46" s="5"/>
      <c r="M46" s="39" t="s">
        <v>21</v>
      </c>
      <c r="N46" s="5"/>
      <c r="O46" s="1"/>
      <c r="P46" s="1"/>
      <c r="W46" s="5"/>
      <c r="X46" s="5"/>
      <c r="Y46" s="5"/>
    </row>
    <row r="47" spans="1:25" s="33" customFormat="1" x14ac:dyDescent="0.25">
      <c r="A47" s="34" t="s">
        <v>76</v>
      </c>
      <c r="B47" s="89"/>
      <c r="C47" s="27">
        <f>B47-F47-G47-H47</f>
        <v>0</v>
      </c>
      <c r="D47" s="4"/>
      <c r="E47" s="5"/>
      <c r="F47" s="95"/>
      <c r="G47" s="96"/>
      <c r="H47" s="37">
        <f>B47-G47-F47</f>
        <v>0</v>
      </c>
      <c r="I47" s="12">
        <v>3</v>
      </c>
      <c r="J47" s="13">
        <v>6610</v>
      </c>
      <c r="K47" s="92">
        <f>ROUND(F67,2)</f>
        <v>0</v>
      </c>
      <c r="L47" s="5"/>
      <c r="M47" s="5" t="s">
        <v>38</v>
      </c>
      <c r="N47" s="5"/>
      <c r="O47" s="1"/>
      <c r="P47" s="1"/>
      <c r="W47" s="5"/>
      <c r="X47" s="5"/>
      <c r="Y47" s="5"/>
    </row>
    <row r="48" spans="1:25" s="33" customFormat="1" ht="18.75" thickBot="1" x14ac:dyDescent="0.3">
      <c r="A48" s="1"/>
      <c r="B48" s="97">
        <f>SUM(B43:B47)</f>
        <v>-84.15</v>
      </c>
      <c r="C48" s="27">
        <f>B49-F48-G48-H48</f>
        <v>0</v>
      </c>
      <c r="D48" s="7"/>
      <c r="E48" s="1"/>
      <c r="F48" s="97">
        <f>SUM(F38:F47)</f>
        <v>0</v>
      </c>
      <c r="G48" s="97">
        <f>SUM(G38:G47)</f>
        <v>0</v>
      </c>
      <c r="H48" s="71">
        <f>SUM(H38:H47)</f>
        <v>-213.3</v>
      </c>
      <c r="I48" s="12">
        <v>3</v>
      </c>
      <c r="J48" s="13">
        <v>6300</v>
      </c>
      <c r="K48" s="92">
        <f>ROUND(F72,2)</f>
        <v>0</v>
      </c>
      <c r="L48" s="5"/>
      <c r="M48" s="5" t="s">
        <v>40</v>
      </c>
      <c r="N48" s="5"/>
      <c r="O48" s="1"/>
      <c r="P48" s="1"/>
      <c r="W48" s="5"/>
      <c r="X48" s="5"/>
      <c r="Y48" s="5"/>
    </row>
    <row r="49" spans="1:25" s="33" customFormat="1" ht="19.5" thickTop="1" thickBot="1" x14ac:dyDescent="0.3">
      <c r="A49" s="34" t="s">
        <v>60</v>
      </c>
      <c r="B49" s="98">
        <f>SUM(B38:B47)</f>
        <v>-213.3</v>
      </c>
      <c r="C49" s="99"/>
      <c r="D49" s="100"/>
      <c r="E49" s="101"/>
      <c r="F49" s="102"/>
      <c r="G49" s="103"/>
      <c r="H49" s="104"/>
      <c r="I49" s="45" t="s">
        <v>62</v>
      </c>
      <c r="J49" s="46" t="s">
        <v>63</v>
      </c>
      <c r="K49" s="105">
        <f>F11+F32-K88</f>
        <v>0</v>
      </c>
      <c r="L49" s="48"/>
      <c r="M49" s="48" t="s">
        <v>32</v>
      </c>
      <c r="N49" s="48"/>
      <c r="O49" s="48"/>
      <c r="P49" s="48"/>
      <c r="W49" s="5"/>
      <c r="X49" s="5"/>
      <c r="Y49" s="5"/>
    </row>
    <row r="50" spans="1:25" ht="18.75" thickTop="1" x14ac:dyDescent="0.25">
      <c r="F50" s="6"/>
      <c r="G50" s="32"/>
      <c r="H50" s="32"/>
      <c r="I50" s="52">
        <v>3</v>
      </c>
      <c r="J50" s="10">
        <v>2120</v>
      </c>
      <c r="K50" s="156">
        <f>-F17</f>
        <v>0</v>
      </c>
      <c r="L50" s="1"/>
      <c r="M50" s="1" t="s">
        <v>34</v>
      </c>
      <c r="N50" s="1"/>
      <c r="O50" s="1"/>
      <c r="P50" s="1"/>
    </row>
    <row r="51" spans="1:25" ht="18.75" thickBot="1" x14ac:dyDescent="0.3">
      <c r="A51" s="1" t="s">
        <v>77</v>
      </c>
      <c r="F51" s="6"/>
      <c r="G51" s="32"/>
      <c r="H51" s="32"/>
      <c r="I51" s="12">
        <v>3</v>
      </c>
      <c r="J51" s="13">
        <v>6630</v>
      </c>
      <c r="K51" s="92">
        <f>F10+F31</f>
        <v>0</v>
      </c>
      <c r="M51" s="39" t="s">
        <v>23</v>
      </c>
      <c r="O51" s="1"/>
      <c r="P51" s="1"/>
    </row>
    <row r="52" spans="1:25" x14ac:dyDescent="0.25">
      <c r="A52" s="25" t="s">
        <v>78</v>
      </c>
      <c r="B52" s="80">
        <f>B24</f>
        <v>-33</v>
      </c>
      <c r="C52" s="106"/>
      <c r="D52" s="28">
        <v>6570</v>
      </c>
      <c r="E52" s="29"/>
      <c r="F52" s="81">
        <f>F24</f>
        <v>0</v>
      </c>
      <c r="G52" s="107">
        <f>G24</f>
        <v>0</v>
      </c>
      <c r="H52" s="31">
        <f>B52-G52-F52</f>
        <v>-33</v>
      </c>
      <c r="I52" s="12">
        <v>3</v>
      </c>
      <c r="J52" s="13">
        <v>6570</v>
      </c>
      <c r="K52" s="92">
        <f>F59</f>
        <v>0</v>
      </c>
      <c r="M52" s="5" t="s">
        <v>25</v>
      </c>
      <c r="O52" s="1"/>
      <c r="P52" s="1"/>
    </row>
    <row r="53" spans="1:25" x14ac:dyDescent="0.25">
      <c r="A53" s="34" t="s">
        <v>45</v>
      </c>
      <c r="B53" s="83">
        <f>B23</f>
        <v>0</v>
      </c>
      <c r="C53" s="27"/>
      <c r="F53" s="6">
        <f>F23</f>
        <v>0</v>
      </c>
      <c r="G53" s="88">
        <f>G23</f>
        <v>0</v>
      </c>
      <c r="H53" s="37">
        <f>B53-F53-G53</f>
        <v>0</v>
      </c>
      <c r="I53" s="12">
        <v>3</v>
      </c>
      <c r="J53" s="13">
        <v>6571</v>
      </c>
      <c r="K53" s="92">
        <f>F56</f>
        <v>0</v>
      </c>
      <c r="M53" s="5" t="s">
        <v>27</v>
      </c>
      <c r="O53" s="1"/>
      <c r="P53" s="1"/>
    </row>
    <row r="54" spans="1:25" x14ac:dyDescent="0.25">
      <c r="A54" s="34" t="s">
        <v>60</v>
      </c>
      <c r="B54" s="108">
        <f>SUM(B52:B53)</f>
        <v>-33</v>
      </c>
      <c r="C54" s="27"/>
      <c r="F54" s="6"/>
      <c r="G54" s="88"/>
      <c r="H54" s="37"/>
      <c r="I54" s="12">
        <v>3</v>
      </c>
      <c r="J54" s="13">
        <v>6571</v>
      </c>
      <c r="K54" s="92"/>
      <c r="M54" s="5" t="s">
        <v>61</v>
      </c>
      <c r="O54" s="1"/>
      <c r="P54" s="1"/>
    </row>
    <row r="55" spans="1:25" x14ac:dyDescent="0.25">
      <c r="A55" s="34"/>
      <c r="B55" s="109"/>
      <c r="C55" s="27"/>
      <c r="F55" s="6"/>
      <c r="G55" s="88"/>
      <c r="H55" s="37"/>
      <c r="I55" s="12">
        <v>3</v>
      </c>
      <c r="J55" s="13">
        <v>6550</v>
      </c>
      <c r="K55" s="92">
        <f>-F21</f>
        <v>0</v>
      </c>
      <c r="M55" s="5" t="s">
        <v>81</v>
      </c>
      <c r="O55" s="1"/>
      <c r="P55" s="1"/>
    </row>
    <row r="56" spans="1:25" ht="18.75" thickBot="1" x14ac:dyDescent="0.3">
      <c r="A56" s="34" t="s">
        <v>80</v>
      </c>
      <c r="B56" s="110">
        <v>-17.600000000000001</v>
      </c>
      <c r="C56" s="111"/>
      <c r="D56" s="4">
        <v>6571</v>
      </c>
      <c r="F56" s="152"/>
      <c r="G56" s="44"/>
      <c r="H56" s="37">
        <f>B56-F56-G56</f>
        <v>-17.600000000000001</v>
      </c>
      <c r="I56" s="12"/>
      <c r="J56" s="13"/>
      <c r="K56" s="86">
        <f>SUM(K43:K55)</f>
        <v>0</v>
      </c>
      <c r="L56" s="1"/>
      <c r="N56" s="1">
        <v>2040</v>
      </c>
      <c r="O56" s="1"/>
      <c r="P56" s="1"/>
      <c r="Q56" s="33">
        <f>+O58+K58</f>
        <v>0</v>
      </c>
      <c r="S56" s="33">
        <f>+R58+N58</f>
        <v>0</v>
      </c>
      <c r="U56" s="33">
        <f>+T58+Q58</f>
        <v>0</v>
      </c>
      <c r="W56" s="32">
        <f>+V58+S58</f>
        <v>0</v>
      </c>
    </row>
    <row r="57" spans="1:25" ht="18.75" thickTop="1" x14ac:dyDescent="0.25">
      <c r="A57" s="34" t="s">
        <v>61</v>
      </c>
      <c r="B57" s="112"/>
      <c r="C57" s="111"/>
      <c r="D57" s="4">
        <v>6571</v>
      </c>
      <c r="F57" s="93"/>
      <c r="G57" s="157"/>
      <c r="H57" s="37">
        <f>B57-F57-G57</f>
        <v>0</v>
      </c>
      <c r="I57" s="12"/>
      <c r="J57" s="13"/>
      <c r="K57" s="32"/>
      <c r="M57" s="1" t="s">
        <v>83</v>
      </c>
      <c r="O57" s="1"/>
      <c r="P57" s="1"/>
    </row>
    <row r="58" spans="1:25" ht="18.75" thickBot="1" x14ac:dyDescent="0.3">
      <c r="A58" s="34" t="s">
        <v>82</v>
      </c>
      <c r="B58" s="83"/>
      <c r="C58" s="111"/>
      <c r="F58" s="6"/>
      <c r="G58" s="88"/>
      <c r="H58" s="37">
        <f>B58-F58-G58</f>
        <v>0</v>
      </c>
      <c r="I58" s="52">
        <v>1</v>
      </c>
      <c r="J58" s="10">
        <v>1012</v>
      </c>
      <c r="K58" s="113">
        <f>-(K23+K40+K56+K76+K83+K88)-K59-K60</f>
        <v>1199.5999999999999</v>
      </c>
      <c r="M58" s="1"/>
      <c r="O58" s="114">
        <f>-'[13]1012-CNB Checking'!$E$41</f>
        <v>-1199.5999999999999</v>
      </c>
      <c r="P58" s="114"/>
      <c r="Y58" s="32">
        <f>+K58+O58</f>
        <v>0</v>
      </c>
    </row>
    <row r="59" spans="1:25" ht="18.75" thickTop="1" x14ac:dyDescent="0.25">
      <c r="A59" s="34" t="s">
        <v>25</v>
      </c>
      <c r="B59" s="110">
        <v>-29</v>
      </c>
      <c r="C59" s="111"/>
      <c r="D59" s="4">
        <v>6570</v>
      </c>
      <c r="F59" s="160">
        <f>+B59*F65</f>
        <v>0</v>
      </c>
      <c r="G59" s="88">
        <f>+B59*G70</f>
        <v>0</v>
      </c>
      <c r="H59" s="37">
        <f>+B59*H65</f>
        <v>-29</v>
      </c>
      <c r="I59" s="85">
        <v>1</v>
      </c>
      <c r="K59" s="21"/>
      <c r="O59" s="21"/>
      <c r="P59" s="1"/>
    </row>
    <row r="60" spans="1:25" x14ac:dyDescent="0.25">
      <c r="A60" s="34" t="s">
        <v>48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85">
        <v>1</v>
      </c>
      <c r="K60" s="21"/>
      <c r="O60" s="21"/>
      <c r="P60" s="1"/>
    </row>
    <row r="61" spans="1:25" x14ac:dyDescent="0.25">
      <c r="A61" s="34" t="s">
        <v>84</v>
      </c>
      <c r="B61" s="83">
        <f>B26</f>
        <v>0</v>
      </c>
      <c r="C61" s="27"/>
      <c r="F61" s="88">
        <f>F26</f>
        <v>0</v>
      </c>
      <c r="G61" s="88">
        <f>G26</f>
        <v>0</v>
      </c>
      <c r="H61" s="37">
        <f>B61-F61-G61</f>
        <v>0</v>
      </c>
      <c r="I61" s="85"/>
      <c r="K61" s="21"/>
      <c r="O61" s="21"/>
      <c r="P61" s="1"/>
    </row>
    <row r="62" spans="1:25" ht="18.75" thickBot="1" x14ac:dyDescent="0.3">
      <c r="A62" s="34" t="s">
        <v>60</v>
      </c>
      <c r="B62" s="116">
        <f>B54+B60+B61+B56+B59+B58</f>
        <v>-79.599999999999994</v>
      </c>
      <c r="C62" s="117"/>
      <c r="D62" s="7"/>
      <c r="E62" s="1"/>
      <c r="F62" s="71">
        <f>F52+F56</f>
        <v>0</v>
      </c>
      <c r="G62" s="71">
        <f>G52+G56</f>
        <v>0</v>
      </c>
      <c r="H62" s="118">
        <f>B62-G62</f>
        <v>-79.599999999999994</v>
      </c>
      <c r="I62" s="115" t="s">
        <v>85</v>
      </c>
      <c r="K62" s="32"/>
      <c r="O62" s="1"/>
      <c r="P62" s="1"/>
    </row>
    <row r="63" spans="1:25" ht="19.5" thickTop="1" thickBot="1" x14ac:dyDescent="0.3">
      <c r="A63" s="73"/>
      <c r="B63" s="74"/>
      <c r="C63" s="74"/>
      <c r="D63" s="75"/>
      <c r="E63" s="76"/>
      <c r="F63" s="78"/>
      <c r="G63" s="78"/>
      <c r="H63" s="79"/>
      <c r="I63" s="115">
        <v>1</v>
      </c>
      <c r="J63" s="5">
        <v>1834</v>
      </c>
      <c r="K63" s="120"/>
      <c r="M63" s="5" t="s">
        <v>42</v>
      </c>
      <c r="O63" s="1"/>
      <c r="P63" s="1"/>
    </row>
    <row r="64" spans="1:25" x14ac:dyDescent="0.25">
      <c r="F64" s="6"/>
      <c r="I64" s="115">
        <v>1</v>
      </c>
      <c r="J64" s="5">
        <v>6015</v>
      </c>
      <c r="K64" s="120"/>
      <c r="M64" s="5" t="s">
        <v>122</v>
      </c>
      <c r="O64" s="1"/>
      <c r="P64" s="1"/>
    </row>
    <row r="65" spans="1:25" ht="18.75" thickBot="1" x14ac:dyDescent="0.3">
      <c r="A65" s="1" t="s">
        <v>88</v>
      </c>
      <c r="D65" s="122">
        <f>F65+G65+H65</f>
        <v>1</v>
      </c>
      <c r="F65" s="123">
        <f>+(F7+F8)/($B$7+$B$8)</f>
        <v>0</v>
      </c>
      <c r="G65" s="123">
        <f>+(G7+G8)/($B$7+$B$8)</f>
        <v>0</v>
      </c>
      <c r="H65" s="123">
        <f>+(H7+H8)/($B$7+$B$8)</f>
        <v>1</v>
      </c>
      <c r="I65" s="85">
        <v>1</v>
      </c>
      <c r="J65" s="5">
        <v>6565</v>
      </c>
      <c r="K65" s="120"/>
      <c r="M65" s="5" t="s">
        <v>86</v>
      </c>
      <c r="O65" s="1"/>
      <c r="P65" s="1"/>
    </row>
    <row r="66" spans="1:25" s="33" customFormat="1" x14ac:dyDescent="0.25">
      <c r="A66" s="25" t="s">
        <v>38</v>
      </c>
      <c r="B66" s="26"/>
      <c r="C66" s="106"/>
      <c r="D66" s="28">
        <v>6610</v>
      </c>
      <c r="E66" s="29"/>
      <c r="F66" s="107">
        <f>B66*F65</f>
        <v>0</v>
      </c>
      <c r="G66" s="107">
        <f>B66*G65</f>
        <v>0</v>
      </c>
      <c r="H66" s="31">
        <f>B66-G66-F66-0</f>
        <v>0</v>
      </c>
      <c r="I66" s="85">
        <v>1</v>
      </c>
      <c r="J66" s="5">
        <v>6630</v>
      </c>
      <c r="K66" s="120"/>
      <c r="L66" s="5"/>
      <c r="M66" s="5" t="s">
        <v>123</v>
      </c>
      <c r="N66" s="5"/>
      <c r="O66" s="1"/>
      <c r="P66" s="1"/>
      <c r="W66" s="5"/>
      <c r="X66" s="5"/>
      <c r="Y66" s="5"/>
    </row>
    <row r="67" spans="1:25" s="33" customFormat="1" ht="18.75" thickBot="1" x14ac:dyDescent="0.3">
      <c r="A67" s="34" t="s">
        <v>60</v>
      </c>
      <c r="B67" s="116">
        <f>B66</f>
        <v>0</v>
      </c>
      <c r="C67" s="117"/>
      <c r="D67" s="7"/>
      <c r="E67" s="1"/>
      <c r="F67" s="71">
        <f>F66</f>
        <v>0</v>
      </c>
      <c r="G67" s="71">
        <f>G66</f>
        <v>0</v>
      </c>
      <c r="H67" s="118">
        <f>B67-G67-F67-0</f>
        <v>0</v>
      </c>
      <c r="I67" s="85">
        <v>1</v>
      </c>
      <c r="J67" s="5">
        <v>6551</v>
      </c>
      <c r="K67" s="120"/>
      <c r="L67" s="5"/>
      <c r="M67" s="5" t="s">
        <v>91</v>
      </c>
      <c r="N67" s="5"/>
      <c r="O67" s="1"/>
      <c r="P67" s="1"/>
      <c r="W67" s="5"/>
      <c r="X67" s="5"/>
      <c r="Y67" s="5"/>
    </row>
    <row r="68" spans="1:25" s="33" customFormat="1" ht="19.5" thickTop="1" thickBot="1" x14ac:dyDescent="0.3">
      <c r="A68" s="73"/>
      <c r="B68" s="74"/>
      <c r="C68" s="74"/>
      <c r="D68" s="75"/>
      <c r="E68" s="76"/>
      <c r="F68" s="78"/>
      <c r="G68" s="78"/>
      <c r="H68" s="79"/>
      <c r="I68" s="85">
        <v>1</v>
      </c>
      <c r="J68" s="5"/>
      <c r="K68" s="158"/>
      <c r="L68" s="5"/>
      <c r="M68" s="5"/>
      <c r="N68" s="5"/>
      <c r="O68" s="1"/>
      <c r="P68" s="1"/>
      <c r="W68" s="5"/>
      <c r="X68" s="5"/>
      <c r="Y68" s="5"/>
    </row>
    <row r="69" spans="1:25" s="33" customFormat="1" x14ac:dyDescent="0.25">
      <c r="A69" s="1"/>
      <c r="B69" s="3"/>
      <c r="C69" s="3"/>
      <c r="D69" s="4"/>
      <c r="E69" s="5"/>
      <c r="F69" s="6"/>
      <c r="G69" s="5"/>
      <c r="H69" s="5"/>
      <c r="I69" s="85">
        <v>1</v>
      </c>
      <c r="J69" s="5"/>
      <c r="K69" s="120"/>
      <c r="L69" s="5"/>
      <c r="M69" s="5"/>
      <c r="N69" s="5"/>
      <c r="O69" s="1"/>
      <c r="P69" s="1"/>
      <c r="W69" s="5"/>
      <c r="X69" s="5"/>
      <c r="Y69" s="5"/>
    </row>
    <row r="70" spans="1:25" s="33" customFormat="1" ht="18.75" thickBot="1" x14ac:dyDescent="0.3">
      <c r="A70" s="101" t="s">
        <v>93</v>
      </c>
      <c r="B70" s="101"/>
      <c r="C70" s="3"/>
      <c r="D70" s="124"/>
      <c r="E70" s="5"/>
      <c r="F70" s="123">
        <f>F65</f>
        <v>0</v>
      </c>
      <c r="G70" s="123">
        <f>G65</f>
        <v>0</v>
      </c>
      <c r="H70" s="123">
        <f>H65</f>
        <v>1</v>
      </c>
      <c r="I70" s="85">
        <v>1</v>
      </c>
      <c r="J70" s="5"/>
      <c r="K70" s="120"/>
      <c r="L70" s="5"/>
      <c r="M70" s="5"/>
      <c r="N70" s="5"/>
      <c r="O70" s="1"/>
      <c r="P70" s="1"/>
      <c r="W70" s="5"/>
      <c r="X70" s="5"/>
      <c r="Y70" s="5"/>
    </row>
    <row r="71" spans="1:25" s="33" customFormat="1" x14ac:dyDescent="0.25">
      <c r="A71" s="25" t="s">
        <v>94</v>
      </c>
      <c r="B71" s="26">
        <f>27.68+1.77</f>
        <v>29.45</v>
      </c>
      <c r="C71" s="106"/>
      <c r="D71" s="28">
        <v>6300</v>
      </c>
      <c r="E71" s="29"/>
      <c r="F71" s="81">
        <f>B71*F70</f>
        <v>0</v>
      </c>
      <c r="G71" s="107">
        <f>B71*G70</f>
        <v>0</v>
      </c>
      <c r="H71" s="31">
        <f>B71*H70-0</f>
        <v>29.45</v>
      </c>
      <c r="I71" s="5"/>
      <c r="J71" s="5"/>
      <c r="K71" s="120"/>
      <c r="L71" s="5"/>
      <c r="M71" s="5"/>
      <c r="N71" s="5"/>
      <c r="O71" s="1"/>
      <c r="P71" s="1"/>
      <c r="W71" s="5"/>
      <c r="X71" s="5"/>
      <c r="Y71" s="5"/>
    </row>
    <row r="72" spans="1:25" s="33" customFormat="1" ht="18.75" thickBot="1" x14ac:dyDescent="0.3">
      <c r="A72" s="34" t="s">
        <v>60</v>
      </c>
      <c r="B72" s="116">
        <f>SUM(B71)</f>
        <v>29.45</v>
      </c>
      <c r="C72" s="117"/>
      <c r="D72" s="7"/>
      <c r="E72" s="1"/>
      <c r="F72" s="71">
        <f>F71</f>
        <v>0</v>
      </c>
      <c r="G72" s="71">
        <f>G71</f>
        <v>0</v>
      </c>
      <c r="H72" s="118">
        <f>H71</f>
        <v>29.45</v>
      </c>
      <c r="I72" s="85"/>
      <c r="J72" s="5"/>
      <c r="K72" s="120"/>
      <c r="L72" s="5"/>
      <c r="M72" s="5"/>
      <c r="N72" s="5"/>
      <c r="O72" s="1"/>
      <c r="P72" s="1"/>
      <c r="W72" s="5"/>
      <c r="X72" s="5"/>
      <c r="Y72" s="5"/>
    </row>
    <row r="73" spans="1:25" s="33" customFormat="1" ht="21.75" thickTop="1" thickBot="1" x14ac:dyDescent="0.35">
      <c r="A73" s="73"/>
      <c r="B73" s="74"/>
      <c r="C73" s="74"/>
      <c r="D73" s="75"/>
      <c r="E73" s="76"/>
      <c r="F73" s="77" t="s">
        <v>95</v>
      </c>
      <c r="G73" s="78"/>
      <c r="H73" s="79"/>
      <c r="I73" s="85"/>
      <c r="J73" s="85"/>
      <c r="K73" s="120"/>
      <c r="L73" s="5"/>
      <c r="M73" s="125"/>
      <c r="N73" s="5"/>
      <c r="O73" s="1"/>
      <c r="P73" s="1"/>
      <c r="W73" s="5"/>
      <c r="X73" s="5"/>
      <c r="Y73" s="5"/>
    </row>
    <row r="74" spans="1:25" s="33" customFormat="1" ht="18.75" thickBot="1" x14ac:dyDescent="0.3">
      <c r="A74" s="1"/>
      <c r="B74" s="3"/>
      <c r="C74" s="3"/>
      <c r="D74" s="4"/>
      <c r="E74" s="5"/>
      <c r="F74" s="6"/>
      <c r="G74" s="5"/>
      <c r="H74" s="5"/>
      <c r="I74" s="85"/>
      <c r="J74" s="5"/>
      <c r="K74" s="126"/>
      <c r="L74" s="5"/>
      <c r="M74" s="5"/>
      <c r="N74" s="5"/>
      <c r="O74" s="1"/>
      <c r="P74" s="1"/>
      <c r="W74" s="5"/>
      <c r="X74" s="5"/>
      <c r="Y74" s="5"/>
    </row>
    <row r="75" spans="1:25" s="33" customFormat="1" ht="18.75" thickBot="1" x14ac:dyDescent="0.3">
      <c r="A75" s="1" t="s">
        <v>96</v>
      </c>
      <c r="B75" s="128">
        <f>ROUND((B72+B67+B62+B49+B33),2)</f>
        <v>-1199.5999999999999</v>
      </c>
      <c r="C75" s="3"/>
      <c r="D75" s="4"/>
      <c r="E75" s="5"/>
      <c r="F75" s="6"/>
      <c r="G75" s="5"/>
      <c r="H75" s="5"/>
      <c r="I75" s="85"/>
      <c r="J75" s="5"/>
      <c r="K75" s="127"/>
      <c r="L75" s="5"/>
      <c r="M75" s="5"/>
      <c r="N75" s="5"/>
      <c r="O75" s="1"/>
      <c r="P75" s="1"/>
      <c r="W75" s="5"/>
      <c r="X75" s="5"/>
      <c r="Y75" s="5"/>
    </row>
    <row r="76" spans="1:25" s="33" customFormat="1" ht="18.75" thickBot="1" x14ac:dyDescent="0.3">
      <c r="A76" s="1"/>
      <c r="B76" s="3"/>
      <c r="C76" s="3"/>
      <c r="D76" s="4"/>
      <c r="E76" s="5"/>
      <c r="F76" s="6"/>
      <c r="G76" s="5"/>
      <c r="H76" s="5"/>
      <c r="I76" s="85" t="s">
        <v>97</v>
      </c>
      <c r="J76" s="5"/>
      <c r="K76" s="129">
        <f>SUM(K63:K75)</f>
        <v>0</v>
      </c>
      <c r="L76" s="5"/>
      <c r="M76" s="5"/>
      <c r="N76" s="5"/>
      <c r="O76" s="1"/>
      <c r="P76" s="1"/>
      <c r="W76" s="5"/>
      <c r="X76" s="5"/>
      <c r="Y76" s="5"/>
    </row>
    <row r="77" spans="1:25" s="33" customFormat="1" x14ac:dyDescent="0.25">
      <c r="A77" s="129" t="s">
        <v>99</v>
      </c>
      <c r="B77" s="159">
        <v>-936.15</v>
      </c>
      <c r="C77" s="130"/>
      <c r="D77" s="131" t="s">
        <v>100</v>
      </c>
      <c r="E77" s="6"/>
      <c r="F77" s="6"/>
      <c r="G77" s="132"/>
      <c r="H77" s="6"/>
      <c r="I77" s="85">
        <v>2</v>
      </c>
      <c r="J77" s="5">
        <v>6565</v>
      </c>
      <c r="K77" s="120"/>
      <c r="L77" s="5"/>
      <c r="M77" s="5" t="s">
        <v>86</v>
      </c>
      <c r="N77" s="5"/>
      <c r="O77" s="1"/>
      <c r="P77" s="1"/>
      <c r="W77" s="5"/>
      <c r="X77" s="5"/>
      <c r="Y77" s="5"/>
    </row>
    <row r="78" spans="1:25" s="33" customFormat="1" x14ac:dyDescent="0.25">
      <c r="A78" s="129" t="s">
        <v>101</v>
      </c>
      <c r="B78" s="130"/>
      <c r="C78" s="130"/>
      <c r="D78" s="131" t="s">
        <v>102</v>
      </c>
      <c r="E78" s="6"/>
      <c r="F78" s="6"/>
      <c r="G78" s="6"/>
      <c r="H78" s="6"/>
      <c r="I78" s="85">
        <v>2</v>
      </c>
      <c r="J78" s="5">
        <v>6551</v>
      </c>
      <c r="K78" s="120"/>
      <c r="L78" s="5"/>
      <c r="M78" s="5" t="s">
        <v>91</v>
      </c>
      <c r="N78" s="5"/>
      <c r="O78" s="1"/>
      <c r="P78" s="1"/>
      <c r="W78" s="5"/>
      <c r="X78" s="5"/>
      <c r="Y78" s="5"/>
    </row>
    <row r="79" spans="1:25" s="33" customFormat="1" ht="18.75" thickBot="1" x14ac:dyDescent="0.3">
      <c r="A79" s="129" t="s">
        <v>103</v>
      </c>
      <c r="B79" s="133"/>
      <c r="C79" s="130"/>
      <c r="D79" s="131"/>
      <c r="E79" s="6"/>
      <c r="F79" s="6"/>
      <c r="G79" s="77"/>
      <c r="H79" s="6"/>
      <c r="I79" s="85">
        <v>2</v>
      </c>
      <c r="J79" s="119">
        <v>6015</v>
      </c>
      <c r="K79" s="120"/>
      <c r="L79" s="5"/>
      <c r="M79" s="5" t="s">
        <v>42</v>
      </c>
      <c r="N79" s="5"/>
      <c r="O79" s="1"/>
      <c r="P79" s="1"/>
      <c r="W79" s="5"/>
      <c r="X79" s="5"/>
      <c r="Y79" s="5"/>
    </row>
    <row r="80" spans="1:25" s="33" customFormat="1" ht="18.75" thickBot="1" x14ac:dyDescent="0.3">
      <c r="A80" s="134" t="s">
        <v>104</v>
      </c>
      <c r="B80" s="135">
        <f>ROUND(SUM(B77:B79),2)</f>
        <v>-936.15</v>
      </c>
      <c r="C80" s="130"/>
      <c r="D80" s="131"/>
      <c r="E80" s="6"/>
      <c r="F80" s="6"/>
      <c r="G80" s="129">
        <f>SUM(G77:G79)</f>
        <v>0</v>
      </c>
      <c r="H80" s="6" t="s">
        <v>105</v>
      </c>
      <c r="I80" s="85">
        <v>2</v>
      </c>
      <c r="J80" s="5">
        <v>6630</v>
      </c>
      <c r="K80" s="120"/>
      <c r="L80" s="5"/>
      <c r="M80" s="5" t="s">
        <v>124</v>
      </c>
      <c r="N80" s="5"/>
      <c r="O80" s="1"/>
      <c r="P80" s="1"/>
      <c r="W80" s="5"/>
      <c r="X80" s="5"/>
      <c r="Y80" s="5"/>
    </row>
    <row r="81" spans="1:25" s="33" customFormat="1" ht="18.75" thickBot="1" x14ac:dyDescent="0.3">
      <c r="A81" s="1" t="s">
        <v>106</v>
      </c>
      <c r="B81" s="132">
        <v>-1229.05</v>
      </c>
      <c r="C81" s="3"/>
      <c r="D81" s="4"/>
      <c r="E81" s="5"/>
      <c r="F81" s="5"/>
      <c r="G81" s="5"/>
      <c r="H81" s="128" t="str">
        <f>IF(B80-G80=0,"ok","NO")</f>
        <v>NO</v>
      </c>
      <c r="I81" s="85">
        <v>2</v>
      </c>
      <c r="J81" s="119">
        <v>6551</v>
      </c>
      <c r="K81" s="120"/>
      <c r="L81" s="5"/>
      <c r="M81" s="5" t="s">
        <v>91</v>
      </c>
      <c r="N81" s="5"/>
      <c r="O81" s="1"/>
      <c r="P81" s="1"/>
      <c r="W81" s="5"/>
      <c r="X81" s="5"/>
      <c r="Y81" s="5"/>
    </row>
    <row r="82" spans="1:25" ht="18.75" thickBot="1" x14ac:dyDescent="0.3">
      <c r="A82" s="1" t="s">
        <v>94</v>
      </c>
      <c r="B82" s="3">
        <f>B67+B72</f>
        <v>29.45</v>
      </c>
      <c r="C82" s="1" t="s">
        <v>108</v>
      </c>
      <c r="I82" s="85"/>
      <c r="J82" s="119"/>
      <c r="K82" s="126"/>
      <c r="O82" s="1"/>
      <c r="P82" s="1"/>
    </row>
    <row r="83" spans="1:25" ht="18.75" thickBot="1" x14ac:dyDescent="0.3">
      <c r="B83" s="3">
        <f>+B81+B82</f>
        <v>-1199.5999999999999</v>
      </c>
      <c r="C83" s="128" t="str">
        <f>IF(B75=B83,"ok","NO")</f>
        <v>ok</v>
      </c>
      <c r="F83" s="136"/>
      <c r="G83" s="32"/>
      <c r="I83" s="85"/>
      <c r="K83" s="129">
        <f>SUM(K77:K82)</f>
        <v>0</v>
      </c>
      <c r="O83" s="1"/>
      <c r="P83" s="1"/>
    </row>
    <row r="84" spans="1:25" x14ac:dyDescent="0.25">
      <c r="A84" s="5"/>
      <c r="B84" s="92">
        <f>+B83-B75</f>
        <v>0</v>
      </c>
      <c r="I84" s="85" t="s">
        <v>110</v>
      </c>
      <c r="K84" s="6"/>
      <c r="O84" s="1"/>
      <c r="P84" s="1"/>
    </row>
    <row r="85" spans="1:25" x14ac:dyDescent="0.25">
      <c r="I85" s="85">
        <v>3</v>
      </c>
      <c r="J85" s="5">
        <v>6015</v>
      </c>
      <c r="K85" s="138"/>
      <c r="M85" s="5" t="s">
        <v>122</v>
      </c>
      <c r="O85" s="1"/>
      <c r="P85" s="1"/>
    </row>
    <row r="86" spans="1:25" s="33" customFormat="1" x14ac:dyDescent="0.25">
      <c r="A86" s="5"/>
      <c r="B86" s="5"/>
      <c r="C86" s="5"/>
      <c r="D86" s="5"/>
      <c r="E86" s="5"/>
      <c r="F86" s="5"/>
      <c r="G86" s="5"/>
      <c r="H86" s="5"/>
      <c r="I86" s="85">
        <v>3</v>
      </c>
      <c r="J86" s="5">
        <v>6680</v>
      </c>
      <c r="K86" s="120"/>
      <c r="L86" s="5"/>
      <c r="M86" s="5" t="s">
        <v>125</v>
      </c>
      <c r="N86" s="5"/>
      <c r="O86" s="1"/>
      <c r="P86" s="1"/>
      <c r="W86" s="5"/>
      <c r="X86" s="5"/>
      <c r="Y86" s="5"/>
    </row>
    <row r="87" spans="1:25" s="33" customFormat="1" x14ac:dyDescent="0.25">
      <c r="A87" s="5"/>
      <c r="B87" s="5"/>
      <c r="C87" s="5"/>
      <c r="D87" s="5"/>
      <c r="E87" s="5"/>
      <c r="F87" s="5"/>
      <c r="G87" s="5"/>
      <c r="H87" s="5"/>
      <c r="I87" s="85">
        <v>3</v>
      </c>
      <c r="J87" s="5">
        <v>6680</v>
      </c>
      <c r="K87" s="126"/>
      <c r="L87" s="5"/>
      <c r="M87" s="5" t="s">
        <v>126</v>
      </c>
      <c r="N87" s="5"/>
      <c r="O87" s="1"/>
      <c r="P87" s="1"/>
      <c r="W87" s="5"/>
      <c r="X87" s="5"/>
      <c r="Y87" s="5"/>
    </row>
    <row r="88" spans="1:25" s="33" customFormat="1" x14ac:dyDescent="0.25">
      <c r="A88" s="5"/>
      <c r="B88" s="32"/>
      <c r="C88" s="5"/>
      <c r="D88" s="5"/>
      <c r="E88" s="5"/>
      <c r="F88" s="5"/>
      <c r="G88" s="5"/>
      <c r="H88" s="5"/>
      <c r="I88" s="85"/>
      <c r="J88" s="5"/>
      <c r="K88" s="129">
        <f>SUM(K85:K87)</f>
        <v>0</v>
      </c>
      <c r="L88" s="5"/>
      <c r="M88" s="5"/>
      <c r="N88" s="5"/>
      <c r="O88" s="1"/>
      <c r="P88" s="1"/>
      <c r="W88" s="5"/>
      <c r="X88" s="5"/>
      <c r="Y88" s="5"/>
    </row>
    <row r="89" spans="1:25" s="33" customFormat="1" x14ac:dyDescent="0.25">
      <c r="A89" s="5"/>
      <c r="B89" s="5"/>
      <c r="C89" s="5"/>
      <c r="D89" s="5"/>
      <c r="E89" s="5"/>
      <c r="F89" s="5"/>
      <c r="G89" s="5"/>
      <c r="H89" s="5"/>
      <c r="I89" s="85"/>
      <c r="J89" s="5"/>
      <c r="K89" s="6"/>
      <c r="L89" s="5"/>
      <c r="M89" s="5"/>
      <c r="N89" s="5"/>
      <c r="O89" s="1"/>
      <c r="P89" s="1"/>
      <c r="W89" s="5"/>
      <c r="X89" s="5"/>
    </row>
    <row r="90" spans="1:25" s="33" customFormat="1" x14ac:dyDescent="0.25">
      <c r="A90" s="5"/>
      <c r="B90" s="5"/>
      <c r="C90" s="5"/>
      <c r="D90" s="5"/>
      <c r="E90" s="5"/>
      <c r="F90" s="5"/>
      <c r="G90" s="5"/>
      <c r="H90" s="5"/>
      <c r="I90" s="85"/>
      <c r="J90" s="5"/>
      <c r="K90" s="140"/>
      <c r="L90" s="5"/>
      <c r="M90" s="5"/>
      <c r="N90" s="5"/>
      <c r="O90" s="1"/>
      <c r="P90" s="1"/>
      <c r="W90" s="5"/>
    </row>
    <row r="91" spans="1:25" x14ac:dyDescent="0.25">
      <c r="A91" s="5"/>
      <c r="B91" s="5"/>
      <c r="C91" s="5"/>
      <c r="D91" s="5"/>
      <c r="O91" s="1"/>
      <c r="P91" s="1"/>
      <c r="W91" s="33"/>
      <c r="X91" s="33"/>
      <c r="Y91" s="33"/>
    </row>
    <row r="92" spans="1:25" x14ac:dyDescent="0.25">
      <c r="A92" s="5"/>
      <c r="B92" s="5"/>
      <c r="C92" s="5"/>
      <c r="D92" s="5"/>
      <c r="J92" s="32"/>
      <c r="K92" s="32"/>
      <c r="O92" s="1"/>
      <c r="P92" s="1"/>
      <c r="W92" s="33"/>
      <c r="X92" s="33"/>
      <c r="Y92" s="33"/>
    </row>
    <row r="93" spans="1:25" x14ac:dyDescent="0.25">
      <c r="A93" s="5"/>
      <c r="B93" s="5"/>
      <c r="C93" s="5"/>
      <c r="D93" s="5"/>
      <c r="O93" s="1"/>
      <c r="P93" s="1"/>
      <c r="W93" s="33"/>
      <c r="X93" s="33"/>
      <c r="Y93" s="33"/>
    </row>
    <row r="94" spans="1:25" x14ac:dyDescent="0.25">
      <c r="A94" s="5"/>
      <c r="B94" s="5"/>
      <c r="C94" s="5"/>
      <c r="D94" s="5"/>
      <c r="W94" s="33"/>
      <c r="X94" s="33"/>
    </row>
    <row r="95" spans="1:25" x14ac:dyDescent="0.25">
      <c r="A95" s="5"/>
      <c r="B95" s="5"/>
      <c r="C95" s="5"/>
      <c r="D95" s="5"/>
      <c r="W95" s="33"/>
    </row>
    <row r="96" spans="1:25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  <row r="100" spans="1:4" x14ac:dyDescent="0.25">
      <c r="A100" s="5"/>
      <c r="B100" s="5"/>
      <c r="C100" s="5"/>
      <c r="D100" s="5"/>
    </row>
  </sheetData>
  <mergeCells count="4">
    <mergeCell ref="Q3:R3"/>
    <mergeCell ref="S3:T3"/>
    <mergeCell ref="U3:V3"/>
    <mergeCell ref="W3:X3"/>
  </mergeCells>
  <pageMargins left="0.75" right="0.75" top="1" bottom="1" header="0.5" footer="0.5"/>
  <pageSetup scale="52" fitToHeight="3" orientation="landscape" r:id="rId1"/>
  <rowBreaks count="1" manualBreakCount="1">
    <brk id="83" max="23" man="1"/>
  </rowBreaks>
  <colBreaks count="1" manualBreakCount="1">
    <brk id="8" max="84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BF3C-16C7-4864-B680-E1BBF56E9760}">
  <sheetPr>
    <tabColor rgb="FF00B050"/>
    <pageSetUpPr fitToPage="1"/>
  </sheetPr>
  <dimension ref="A2:Z99"/>
  <sheetViews>
    <sheetView topLeftCell="A19" zoomScale="70" zoomScaleNormal="70" zoomScalePageLayoutView="70" workbookViewId="0">
      <selection activeCell="T44" sqref="T44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5.375" style="3" bestFit="1" customWidth="1"/>
    <col min="4" max="4" width="11.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4.625" style="5" customWidth="1"/>
    <col min="13" max="13" width="3" style="5" customWidth="1"/>
    <col min="14" max="14" width="16.25" style="5" bestFit="1" customWidth="1"/>
    <col min="15" max="15" width="19.875" style="5" customWidth="1"/>
    <col min="16" max="16" width="16.875" style="5" hidden="1" customWidth="1"/>
    <col min="17" max="17" width="15.25" style="5" hidden="1" customWidth="1"/>
    <col min="18" max="18" width="18.125" style="5" hidden="1" customWidth="1"/>
    <col min="19" max="19" width="15.75" style="5" customWidth="1"/>
    <col min="20" max="20" width="15.375" style="5" bestFit="1" customWidth="1"/>
    <col min="21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43812</v>
      </c>
      <c r="K2" s="9"/>
      <c r="M2" s="5" t="s">
        <v>1</v>
      </c>
    </row>
    <row r="3" spans="1:19" x14ac:dyDescent="0.25">
      <c r="A3" s="10" t="s">
        <v>2</v>
      </c>
      <c r="B3" s="8">
        <v>43805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0.5</v>
      </c>
    </row>
    <row r="7" spans="1:19" x14ac:dyDescent="0.25">
      <c r="A7" s="25" t="s">
        <v>14</v>
      </c>
      <c r="B7" s="26">
        <v>3141.02</v>
      </c>
      <c r="C7" s="27"/>
      <c r="D7" s="28"/>
      <c r="E7" s="29"/>
      <c r="F7" s="30"/>
      <c r="G7" s="30">
        <f>+B7</f>
        <v>3141.02</v>
      </c>
      <c r="H7" s="31">
        <f t="shared" ref="H7:H31" si="0">B7-F7-G7</f>
        <v>0</v>
      </c>
      <c r="I7" s="12">
        <v>1</v>
      </c>
      <c r="J7" s="13">
        <v>6500</v>
      </c>
      <c r="K7" s="32">
        <f>H7+H31-H29</f>
        <v>0</v>
      </c>
      <c r="M7" s="5" t="s">
        <v>15</v>
      </c>
      <c r="P7" s="5">
        <v>1</v>
      </c>
      <c r="Q7" s="13">
        <v>6500</v>
      </c>
      <c r="R7" s="33">
        <f>+K7*$R$6</f>
        <v>0</v>
      </c>
      <c r="S7" s="32"/>
    </row>
    <row r="8" spans="1:19" x14ac:dyDescent="0.25">
      <c r="A8" s="34" t="s">
        <v>16</v>
      </c>
      <c r="B8" s="35"/>
      <c r="C8" s="27"/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/>
      <c r="C9" s="27"/>
      <c r="F9" s="35"/>
      <c r="G9" s="36"/>
      <c r="H9" s="37">
        <f t="shared" si="0"/>
        <v>0</v>
      </c>
      <c r="I9" s="12">
        <v>1</v>
      </c>
      <c r="J9" s="13">
        <v>6510</v>
      </c>
      <c r="K9" s="32">
        <f>+H9</f>
        <v>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/>
      <c r="C10" s="27"/>
      <c r="F10" s="35"/>
      <c r="G10" s="35"/>
      <c r="H10" s="37">
        <f t="shared" si="0"/>
        <v>0</v>
      </c>
      <c r="I10" s="12">
        <v>1</v>
      </c>
      <c r="J10" s="13">
        <v>6580</v>
      </c>
      <c r="K10" s="32">
        <f>ROUND($H$42+$H$43+$H$44+$H$45-$H$15+$H$46,2)</f>
        <v>0</v>
      </c>
      <c r="M10" s="39" t="s">
        <v>21</v>
      </c>
      <c r="P10" s="5">
        <v>1</v>
      </c>
      <c r="Q10" s="13">
        <v>6580</v>
      </c>
      <c r="R10" s="33">
        <f>+K10*$R$6</f>
        <v>0</v>
      </c>
      <c r="S10" s="32"/>
    </row>
    <row r="11" spans="1:19" x14ac:dyDescent="0.25">
      <c r="A11" s="34" t="s">
        <v>22</v>
      </c>
      <c r="B11" s="40">
        <v>194.73</v>
      </c>
      <c r="C11" s="27"/>
      <c r="F11" s="41"/>
      <c r="G11" s="41"/>
      <c r="H11" s="37">
        <f t="shared" si="0"/>
        <v>194.73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45.55</v>
      </c>
      <c r="C12" s="27"/>
      <c r="F12" s="41"/>
      <c r="G12" s="41"/>
      <c r="H12" s="37">
        <f t="shared" si="0"/>
        <v>45.55</v>
      </c>
      <c r="I12" s="12">
        <v>1</v>
      </c>
      <c r="J12" s="13">
        <v>6570</v>
      </c>
      <c r="K12" s="32">
        <f>-H23+H51+H58</f>
        <v>0</v>
      </c>
      <c r="M12" s="5" t="s">
        <v>25</v>
      </c>
      <c r="P12" s="5">
        <v>1</v>
      </c>
      <c r="Q12" s="13">
        <v>6570</v>
      </c>
      <c r="R12" s="33">
        <f>+K12*R6</f>
        <v>0</v>
      </c>
      <c r="S12" s="32"/>
    </row>
    <row r="13" spans="1:19" x14ac:dyDescent="0.25">
      <c r="A13" s="34" t="s">
        <v>26</v>
      </c>
      <c r="B13" s="42">
        <v>174.38</v>
      </c>
      <c r="C13" s="27"/>
      <c r="F13" s="41"/>
      <c r="G13" s="41"/>
      <c r="H13" s="37">
        <f t="shared" si="0"/>
        <v>174.38</v>
      </c>
      <c r="I13" s="12">
        <v>1</v>
      </c>
      <c r="J13" s="13">
        <v>6571</v>
      </c>
      <c r="K13" s="32">
        <f>ROUND(H55,2)</f>
        <v>0</v>
      </c>
      <c r="M13" s="43" t="s">
        <v>27</v>
      </c>
      <c r="P13" s="5">
        <v>1</v>
      </c>
      <c r="Q13" s="13">
        <v>6571</v>
      </c>
      <c r="R13" s="33">
        <f>+K13*$R$6</f>
        <v>0</v>
      </c>
      <c r="S13" s="32"/>
    </row>
    <row r="14" spans="1:19" x14ac:dyDescent="0.25">
      <c r="A14" s="34" t="s">
        <v>28</v>
      </c>
      <c r="B14" s="42">
        <v>105.04</v>
      </c>
      <c r="C14" s="27"/>
      <c r="F14" s="41"/>
      <c r="G14" s="41"/>
      <c r="H14" s="37">
        <f t="shared" si="0"/>
        <v>105.04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1.2</v>
      </c>
      <c r="C15" s="27"/>
      <c r="F15" s="44"/>
      <c r="G15" s="44">
        <f>+B15</f>
        <v>1.2</v>
      </c>
      <c r="H15" s="37">
        <f t="shared" si="0"/>
        <v>0</v>
      </c>
      <c r="I15" s="45"/>
      <c r="J15" s="46" t="s">
        <v>31</v>
      </c>
      <c r="K15" s="47">
        <f>H10-K74</f>
        <v>0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/>
    </row>
    <row r="16" spans="1:19" ht="18.75" thickBot="1" x14ac:dyDescent="0.3">
      <c r="A16" s="34" t="s">
        <v>33</v>
      </c>
      <c r="B16" s="51">
        <v>4.8</v>
      </c>
      <c r="C16" s="27"/>
      <c r="D16" s="7"/>
      <c r="F16" s="44"/>
      <c r="G16" s="44">
        <f>+B16</f>
        <v>4.8</v>
      </c>
      <c r="H16" s="37">
        <f t="shared" si="0"/>
        <v>0</v>
      </c>
      <c r="I16" s="52">
        <v>1</v>
      </c>
      <c r="J16" s="10">
        <v>2120</v>
      </c>
      <c r="K16" s="21">
        <f>-H16</f>
        <v>0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0</v>
      </c>
      <c r="S16" s="32"/>
    </row>
    <row r="17" spans="1:26" x14ac:dyDescent="0.25">
      <c r="A17" s="34" t="s">
        <v>35</v>
      </c>
      <c r="B17" s="40"/>
      <c r="C17" s="27"/>
      <c r="D17" s="54"/>
      <c r="F17" s="41"/>
      <c r="G17" s="55"/>
      <c r="H17" s="37">
        <f t="shared" si="0"/>
        <v>0</v>
      </c>
      <c r="I17" s="12">
        <v>1</v>
      </c>
      <c r="J17" s="13">
        <v>1830</v>
      </c>
      <c r="K17" s="56">
        <f>ROUND(-H20-H27-H17-H18-H21-H26-H28,2)</f>
        <v>0</v>
      </c>
      <c r="M17" s="5" t="s">
        <v>36</v>
      </c>
      <c r="P17" s="5">
        <v>1</v>
      </c>
      <c r="Q17" s="13">
        <v>1830</v>
      </c>
      <c r="R17" s="33">
        <f>+K17*$R$6</f>
        <v>0</v>
      </c>
      <c r="S17" s="32"/>
    </row>
    <row r="18" spans="1:26" x14ac:dyDescent="0.25">
      <c r="A18" s="34" t="s">
        <v>37</v>
      </c>
      <c r="B18" s="42"/>
      <c r="C18" s="27"/>
      <c r="D18" s="54"/>
      <c r="F18" s="41"/>
      <c r="G18" s="44"/>
      <c r="H18" s="37">
        <f t="shared" si="0"/>
        <v>0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42"/>
      <c r="C19" s="27"/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0</v>
      </c>
      <c r="M19" s="5" t="s">
        <v>40</v>
      </c>
      <c r="P19" s="5">
        <v>1</v>
      </c>
      <c r="Q19" s="13">
        <v>6300</v>
      </c>
      <c r="R19" s="33">
        <f>+K19*$R$6</f>
        <v>0</v>
      </c>
      <c r="S19" s="32"/>
    </row>
    <row r="20" spans="1:26" x14ac:dyDescent="0.25">
      <c r="A20" s="34" t="s">
        <v>41</v>
      </c>
      <c r="B20" s="42"/>
      <c r="C20" s="27"/>
      <c r="F20" s="41"/>
      <c r="G20" s="44"/>
      <c r="H20" s="37">
        <f t="shared" si="0"/>
        <v>0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42"/>
      <c r="C21" s="27"/>
      <c r="D21" s="54"/>
      <c r="F21" s="41"/>
      <c r="G21" s="44"/>
      <c r="H21" s="37">
        <f t="shared" si="0"/>
        <v>0</v>
      </c>
      <c r="I21" s="12">
        <v>1</v>
      </c>
      <c r="J21" s="13">
        <v>6630</v>
      </c>
      <c r="K21" s="32"/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42"/>
      <c r="C22" s="27"/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42"/>
      <c r="C23" s="27"/>
      <c r="F23" s="44"/>
      <c r="G23" s="44"/>
      <c r="H23" s="37">
        <f t="shared" si="0"/>
        <v>0</v>
      </c>
      <c r="I23" s="12"/>
      <c r="J23" s="13"/>
      <c r="K23" s="59">
        <f>SUM(K7:K22)</f>
        <v>0</v>
      </c>
      <c r="N23" s="1">
        <v>2040</v>
      </c>
      <c r="P23" s="5">
        <v>1</v>
      </c>
      <c r="Q23" s="13">
        <v>2040</v>
      </c>
      <c r="R23" s="60">
        <f>SUM(R7:R22)</f>
        <v>0</v>
      </c>
      <c r="S23" s="6"/>
      <c r="V23" s="32"/>
    </row>
    <row r="24" spans="1:26" ht="18.75" thickTop="1" x14ac:dyDescent="0.25">
      <c r="A24" s="34" t="s">
        <v>48</v>
      </c>
      <c r="B24" s="42"/>
      <c r="C24" s="27"/>
      <c r="F24" s="41"/>
      <c r="G24" s="44"/>
      <c r="H24" s="37">
        <f t="shared" si="0"/>
        <v>0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42"/>
      <c r="C25" s="27"/>
      <c r="F25" s="44"/>
      <c r="G25" s="44"/>
      <c r="H25" s="37">
        <f t="shared" si="0"/>
        <v>0</v>
      </c>
      <c r="I25" s="61">
        <v>2</v>
      </c>
      <c r="J25" s="62"/>
      <c r="K25" s="32"/>
      <c r="Q25" s="62"/>
      <c r="R25" s="33"/>
      <c r="V25" s="32"/>
    </row>
    <row r="26" spans="1:26" x14ac:dyDescent="0.25">
      <c r="A26" s="34" t="s">
        <v>50</v>
      </c>
      <c r="B26" s="42"/>
      <c r="C26" s="27"/>
      <c r="D26" s="54"/>
      <c r="F26" s="41"/>
      <c r="G26" s="55"/>
      <c r="H26" s="37">
        <f t="shared" si="0"/>
        <v>0</v>
      </c>
      <c r="I26" s="12">
        <v>2</v>
      </c>
      <c r="J26" s="13">
        <v>6500</v>
      </c>
      <c r="K26" s="32">
        <f>G7+G31-G29</f>
        <v>3141.02</v>
      </c>
      <c r="M26" s="5" t="s">
        <v>51</v>
      </c>
      <c r="O26" s="32"/>
      <c r="P26" s="5">
        <v>2</v>
      </c>
      <c r="Q26" s="13">
        <v>6500</v>
      </c>
      <c r="R26" s="33">
        <f>+K26*R6</f>
        <v>1570.51</v>
      </c>
      <c r="S26" s="32"/>
      <c r="X26" s="32"/>
    </row>
    <row r="27" spans="1:26" x14ac:dyDescent="0.25">
      <c r="A27" s="34" t="s">
        <v>52</v>
      </c>
      <c r="B27" s="42"/>
      <c r="C27" s="63"/>
      <c r="F27" s="41"/>
      <c r="G27" s="55"/>
      <c r="H27" s="37">
        <f t="shared" si="0"/>
        <v>0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51"/>
      <c r="C28" s="27"/>
      <c r="D28" s="54"/>
      <c r="F28" s="44"/>
      <c r="G28" s="44"/>
      <c r="H28" s="37">
        <f t="shared" si="0"/>
        <v>0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168"/>
      <c r="C29" s="65">
        <f t="shared" ref="C29:C30" si="1">B29-F29-G29-H29</f>
        <v>0</v>
      </c>
      <c r="D29" s="172">
        <v>6500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314.47000000000003</v>
      </c>
      <c r="M29" s="39" t="s">
        <v>21</v>
      </c>
      <c r="P29" s="5">
        <v>2</v>
      </c>
      <c r="Q29" s="13">
        <v>6580</v>
      </c>
      <c r="R29" s="33">
        <f>+K29*R6</f>
        <v>157.23500000000001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14.92</v>
      </c>
      <c r="M31" s="5" t="s">
        <v>25</v>
      </c>
      <c r="P31" s="5">
        <v>2</v>
      </c>
      <c r="Q31" s="13">
        <v>6570</v>
      </c>
      <c r="R31" s="33">
        <f>+K31*$R$6</f>
        <v>7.46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B7+B8+B10-B11-B12-B13-B14-B15-B16-B19-B29-B20-B26-B25-B28-B17-B21-B18-B23-B22-B24+B30+B31-B27+B9</f>
        <v>2615.3199999999997</v>
      </c>
      <c r="C32" s="72">
        <f>B32-F32-G32-H32</f>
        <v>0</v>
      </c>
      <c r="D32" s="71"/>
      <c r="E32" s="71"/>
      <c r="F32" s="71">
        <f>F7+F8+F10-F11-F12-F13-F14-F15-F16-F19-F29-F20-F26-F25-F28-F17-F21-F18-F23-F22-F24+F30+F31-F27+F9</f>
        <v>0</v>
      </c>
      <c r="G32" s="71">
        <f>G7+G8+G10-G11-G12-G13-G14-G15-G16-G19-G29-G20-G26-G25-G28-G17-G21-G18-G23-G22-G24+G30+G31-G27+G9</f>
        <v>3135.02</v>
      </c>
      <c r="H32" s="71">
        <f>H7+H8+H10-H11-H12-H13-H14-H15-H16-H19-H29-H20-H26-H25-H28-H17-H21-H18-H23-H22-H24+H30+H31</f>
        <v>-519.69999999999993</v>
      </c>
      <c r="I32" s="12">
        <v>2</v>
      </c>
      <c r="J32" s="13">
        <v>6571</v>
      </c>
      <c r="K32" s="32">
        <f>G55</f>
        <v>0</v>
      </c>
      <c r="M32" s="43" t="s">
        <v>27</v>
      </c>
      <c r="P32" s="5">
        <v>2</v>
      </c>
      <c r="Q32" s="13">
        <v>6571</v>
      </c>
      <c r="R32" s="33">
        <f>+K32*$R$6</f>
        <v>0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0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/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-4.8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-2.4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ROUND(-G17-G18-G20-G21-G26-G28,2)</f>
        <v>0</v>
      </c>
      <c r="M36" s="5" t="s">
        <v>36</v>
      </c>
      <c r="O36" s="1"/>
      <c r="P36" s="5">
        <v>2</v>
      </c>
      <c r="Q36" s="13">
        <v>1830</v>
      </c>
      <c r="R36" s="33">
        <f>+K36*$R$6</f>
        <v>0</v>
      </c>
      <c r="S36" s="32"/>
    </row>
    <row r="37" spans="1:22" x14ac:dyDescent="0.25">
      <c r="A37" s="25" t="s">
        <v>66</v>
      </c>
      <c r="B37" s="80">
        <f>B11</f>
        <v>194.73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194.73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45.55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45.55</v>
      </c>
      <c r="I38" s="12">
        <v>2</v>
      </c>
      <c r="J38" s="13">
        <v>6300</v>
      </c>
      <c r="K38" s="84">
        <f>ROUND(G70,2)</f>
        <v>29.45</v>
      </c>
      <c r="M38" s="5" t="s">
        <v>40</v>
      </c>
      <c r="O38" s="1"/>
      <c r="P38" s="5">
        <v>2</v>
      </c>
      <c r="Q38" s="13">
        <v>6300</v>
      </c>
      <c r="R38" s="33">
        <f>+K38*$R$6</f>
        <v>14.725</v>
      </c>
      <c r="S38" s="32"/>
    </row>
    <row r="39" spans="1:22" x14ac:dyDescent="0.25">
      <c r="A39" s="34" t="s">
        <v>68</v>
      </c>
      <c r="B39" s="83">
        <f>B13</f>
        <v>174.38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174.38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105.04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105.04</v>
      </c>
      <c r="I40" s="85"/>
      <c r="J40" s="5">
        <v>2040</v>
      </c>
      <c r="K40" s="86">
        <f>SUM(K26:K39)</f>
        <v>3495.0599999999995</v>
      </c>
      <c r="N40" s="1">
        <v>2040</v>
      </c>
      <c r="O40" s="1"/>
      <c r="P40" s="5">
        <v>2</v>
      </c>
      <c r="Q40" s="5">
        <v>2040</v>
      </c>
      <c r="R40" s="86">
        <f>SUM(R26:R39)</f>
        <v>1747.5299999999997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194.76</v>
      </c>
      <c r="C42" s="27">
        <f>B42-F42-G42-H42</f>
        <v>0</v>
      </c>
      <c r="D42" s="4">
        <v>6580</v>
      </c>
      <c r="F42" s="90"/>
      <c r="G42" s="90">
        <f>+B42</f>
        <v>194.76</v>
      </c>
      <c r="H42" s="37">
        <f>B42-F42-G42</f>
        <v>0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45.53</v>
      </c>
      <c r="C43" s="27">
        <f>B43-F43-G43-H43</f>
        <v>0</v>
      </c>
      <c r="D43" s="4">
        <v>6580</v>
      </c>
      <c r="F43" s="90"/>
      <c r="G43" s="90">
        <f>+B43</f>
        <v>45.53</v>
      </c>
      <c r="H43" s="37">
        <f>B43-F43-G43</f>
        <v>0</v>
      </c>
      <c r="I43" s="12">
        <v>3</v>
      </c>
      <c r="J43" s="13">
        <v>6500</v>
      </c>
      <c r="K43" s="92">
        <f>F7+F31-F29</f>
        <v>0</v>
      </c>
      <c r="M43" s="5" t="s">
        <v>71</v>
      </c>
      <c r="O43" s="1"/>
      <c r="P43" s="5">
        <v>3</v>
      </c>
      <c r="Q43" s="13">
        <v>6500</v>
      </c>
      <c r="R43" s="33">
        <f>+K43*$R$6</f>
        <v>0</v>
      </c>
      <c r="S43" s="32"/>
    </row>
    <row r="44" spans="1:22" x14ac:dyDescent="0.25">
      <c r="A44" s="34" t="s">
        <v>72</v>
      </c>
      <c r="B44" s="89">
        <v>18.850000000000001</v>
      </c>
      <c r="C44" s="27">
        <f>B44-F44-G44-H44</f>
        <v>0</v>
      </c>
      <c r="D44" s="4">
        <v>6580</v>
      </c>
      <c r="F44" s="90"/>
      <c r="G44" s="91">
        <f>+B44</f>
        <v>18.850000000000001</v>
      </c>
      <c r="H44" s="37">
        <f>B44-G44-F44</f>
        <v>0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54.18</v>
      </c>
      <c r="C45" s="27">
        <f>B45-F45-G45-H45</f>
        <v>0</v>
      </c>
      <c r="D45" s="4">
        <v>6580</v>
      </c>
      <c r="F45" s="90"/>
      <c r="G45" s="94">
        <f>+B45</f>
        <v>54.18</v>
      </c>
      <c r="H45" s="37">
        <f>B45-G45-F45</f>
        <v>0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2.35</v>
      </c>
      <c r="C46" s="27">
        <f>B46-F46-G46-H46</f>
        <v>0</v>
      </c>
      <c r="F46" s="96"/>
      <c r="G46" s="96">
        <f>+B46</f>
        <v>2.35</v>
      </c>
      <c r="H46" s="37">
        <f>B46-G46-F46</f>
        <v>0</v>
      </c>
      <c r="I46" s="12">
        <v>3</v>
      </c>
      <c r="J46" s="13">
        <v>6580</v>
      </c>
      <c r="K46" s="32">
        <f>ROUND($F$42+$F$43+$F$44+$F$45-$F$15+$F$46,2)</f>
        <v>0</v>
      </c>
      <c r="M46" s="39" t="s">
        <v>21</v>
      </c>
      <c r="O46" s="1"/>
      <c r="P46" s="5">
        <v>3</v>
      </c>
      <c r="Q46" s="13">
        <v>6580</v>
      </c>
      <c r="R46" s="33">
        <f>+K46*$R$6</f>
        <v>0</v>
      </c>
      <c r="S46" s="32"/>
    </row>
    <row r="47" spans="1:22" ht="18.75" thickBot="1" x14ac:dyDescent="0.3">
      <c r="B47" s="97">
        <f>SUM(B42:B46)</f>
        <v>315.67</v>
      </c>
      <c r="C47" s="27">
        <f>B48-F47-G47-H47</f>
        <v>0</v>
      </c>
      <c r="D47" s="7"/>
      <c r="E47" s="1"/>
      <c r="F47" s="97">
        <f>SUM(F37:F46)</f>
        <v>0</v>
      </c>
      <c r="G47" s="97">
        <f>SUM(G37:G46)</f>
        <v>315.67</v>
      </c>
      <c r="H47" s="71">
        <f>SUM(H37:H46)</f>
        <v>519.69999999999993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835.36999999999989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0</v>
      </c>
      <c r="M48" s="5" t="s">
        <v>40</v>
      </c>
      <c r="O48" s="1"/>
      <c r="P48" s="5">
        <v>3</v>
      </c>
      <c r="Q48" s="13">
        <v>6300</v>
      </c>
      <c r="R48" s="33">
        <f>+K48*$R$6</f>
        <v>0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0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0</v>
      </c>
      <c r="S50" s="32"/>
    </row>
    <row r="51" spans="1:23" x14ac:dyDescent="0.25">
      <c r="A51" s="25" t="s">
        <v>78</v>
      </c>
      <c r="B51" s="80">
        <f>B23</f>
        <v>0</v>
      </c>
      <c r="C51" s="106"/>
      <c r="D51" s="28">
        <v>6570</v>
      </c>
      <c r="E51" s="29"/>
      <c r="F51" s="81">
        <f>F23</f>
        <v>0</v>
      </c>
      <c r="G51" s="107">
        <f>G23</f>
        <v>0</v>
      </c>
      <c r="H51" s="31">
        <f>B51-G51-F51</f>
        <v>0</v>
      </c>
      <c r="I51" s="12">
        <v>3</v>
      </c>
      <c r="J51" s="13">
        <v>1830</v>
      </c>
      <c r="K51" s="56">
        <f>-ROUND(F28,2)</f>
        <v>0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0</v>
      </c>
      <c r="M52" s="5" t="s">
        <v>25</v>
      </c>
      <c r="O52" s="1"/>
      <c r="P52" s="5">
        <v>3</v>
      </c>
      <c r="Q52" s="13">
        <v>6570</v>
      </c>
      <c r="R52" s="33">
        <f>+K52</f>
        <v>0</v>
      </c>
      <c r="S52" s="32"/>
    </row>
    <row r="53" spans="1:23" x14ac:dyDescent="0.25">
      <c r="A53" s="34" t="s">
        <v>60</v>
      </c>
      <c r="B53" s="108">
        <f>SUM(B51:B52)</f>
        <v>0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0</v>
      </c>
      <c r="M53" s="5" t="s">
        <v>27</v>
      </c>
      <c r="O53" s="1"/>
      <c r="P53" s="5">
        <v>3</v>
      </c>
      <c r="Q53" s="13">
        <v>6571</v>
      </c>
      <c r="R53" s="33">
        <f>+K53</f>
        <v>0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70"/>
      <c r="C55" s="111"/>
      <c r="D55" s="4">
        <v>6571</v>
      </c>
      <c r="F55" s="90"/>
      <c r="G55" s="90"/>
      <c r="H55" s="37">
        <f>B55-F55-G55</f>
        <v>0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71"/>
      <c r="C56" s="111"/>
      <c r="D56" s="4">
        <v>6571</v>
      </c>
      <c r="F56" s="93"/>
      <c r="G56" s="93"/>
      <c r="H56" s="37">
        <f>B56-F56-G56</f>
        <v>0</v>
      </c>
      <c r="I56" s="12"/>
      <c r="J56" s="13"/>
      <c r="K56" s="86">
        <f>SUM(K43:K55)</f>
        <v>0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0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14.92</v>
      </c>
      <c r="C58" s="111"/>
      <c r="D58" s="4">
        <v>6570</v>
      </c>
      <c r="F58" s="88"/>
      <c r="G58" s="88">
        <f>+B58</f>
        <v>14.92</v>
      </c>
      <c r="H58" s="37"/>
      <c r="I58" s="52">
        <v>1</v>
      </c>
      <c r="J58" s="10">
        <v>1012</v>
      </c>
      <c r="K58" s="113">
        <f>-(K23+K40+K56+K74+K84+K90)-K59</f>
        <v>-879.73999999999933</v>
      </c>
      <c r="M58" s="1"/>
      <c r="N58" s="32">
        <f>+'[13]1012-CNB Checking'!$F$60</f>
        <v>879.74</v>
      </c>
      <c r="O58" s="114">
        <f>+K58+N58</f>
        <v>0</v>
      </c>
      <c r="P58" s="32"/>
      <c r="R58" s="33"/>
    </row>
    <row r="59" spans="1:23" ht="18.75" thickTop="1" x14ac:dyDescent="0.25">
      <c r="A59" s="34" t="s">
        <v>48</v>
      </c>
      <c r="B59" s="83">
        <f>B24</f>
        <v>0</v>
      </c>
      <c r="C59" s="27"/>
      <c r="F59" s="88">
        <f>F24</f>
        <v>0</v>
      </c>
      <c r="G59" s="88">
        <f>G24</f>
        <v>0</v>
      </c>
      <c r="H59" s="37">
        <f>B59-F59-G59</f>
        <v>0</v>
      </c>
      <c r="I59" s="52">
        <v>1</v>
      </c>
      <c r="J59" s="10">
        <v>1012</v>
      </c>
      <c r="K59" s="21">
        <v>-2615.3200000000002</v>
      </c>
      <c r="L59" s="21">
        <f>C74+L58</f>
        <v>0</v>
      </c>
      <c r="M59" s="21">
        <f>D74+M58</f>
        <v>0</v>
      </c>
      <c r="N59" s="21">
        <f>+'[13]1012-CNB Checking'!$F$52</f>
        <v>2615.3200000000002</v>
      </c>
      <c r="O59" s="21"/>
      <c r="R59" s="33"/>
      <c r="T59" s="32">
        <f>+O58-B80</f>
        <v>-3465.61</v>
      </c>
    </row>
    <row r="60" spans="1:23" x14ac:dyDescent="0.25">
      <c r="A60" s="34" t="s">
        <v>84</v>
      </c>
      <c r="B60" s="83">
        <f>B25</f>
        <v>0</v>
      </c>
      <c r="C60" s="27"/>
      <c r="F60" s="88">
        <f>F25</f>
        <v>0</v>
      </c>
      <c r="G60" s="88">
        <f>G25</f>
        <v>0</v>
      </c>
      <c r="H60" s="37">
        <f>B60-F60-G60</f>
        <v>0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14.92</v>
      </c>
      <c r="C61" s="117"/>
      <c r="D61" s="7"/>
      <c r="E61" s="1"/>
      <c r="F61" s="71">
        <f>F51+F55</f>
        <v>0</v>
      </c>
      <c r="G61" s="71">
        <f>G51+G55</f>
        <v>0</v>
      </c>
      <c r="H61" s="118">
        <f>B61-G61</f>
        <v>14.92</v>
      </c>
      <c r="I61" s="115">
        <v>1</v>
      </c>
      <c r="J61" s="119">
        <v>1831</v>
      </c>
      <c r="K61" s="120"/>
      <c r="M61" s="5" t="s">
        <v>42</v>
      </c>
      <c r="O61" s="121"/>
      <c r="P61" s="115"/>
      <c r="Q61" s="119"/>
      <c r="R61" s="16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/>
      <c r="M62" s="5" t="s">
        <v>132</v>
      </c>
      <c r="O62" s="1"/>
      <c r="P62" s="115"/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O63" s="1"/>
      <c r="P63" s="85"/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/>
      <c r="R64" s="16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/>
      <c r="M65" s="5" t="s">
        <v>90</v>
      </c>
      <c r="O65" s="1"/>
      <c r="P65" s="85"/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/>
      <c r="M66" s="5" t="s">
        <v>133</v>
      </c>
      <c r="O66" s="1"/>
      <c r="P66" s="85"/>
      <c r="R66" s="16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/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/>
      <c r="G69" s="123">
        <v>1</v>
      </c>
      <c r="H69" s="123"/>
      <c r="K69" s="120"/>
      <c r="O69" s="1"/>
      <c r="R69" s="162"/>
    </row>
    <row r="70" spans="1:20" x14ac:dyDescent="0.25">
      <c r="A70" s="25" t="s">
        <v>94</v>
      </c>
      <c r="B70" s="26">
        <f>27.68+1.77</f>
        <v>29.45</v>
      </c>
      <c r="C70" s="106"/>
      <c r="D70" s="28">
        <v>6300</v>
      </c>
      <c r="E70" s="29"/>
      <c r="F70" s="81">
        <f>B70*F69</f>
        <v>0</v>
      </c>
      <c r="G70" s="107">
        <f>+B70</f>
        <v>29.45</v>
      </c>
      <c r="H70" s="31">
        <f>B70*H69-0</f>
        <v>0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0</v>
      </c>
      <c r="G71" s="71">
        <f>G70</f>
        <v>29.45</v>
      </c>
      <c r="H71" s="118">
        <f>H70</f>
        <v>0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3465.61</v>
      </c>
      <c r="F74" s="6"/>
      <c r="I74" s="85" t="s">
        <v>97</v>
      </c>
      <c r="K74" s="129">
        <f>SUM(K61:K73)</f>
        <v>0</v>
      </c>
      <c r="O74" s="1"/>
      <c r="R74" s="162"/>
    </row>
    <row r="75" spans="1:20" ht="18.75" thickBot="1" x14ac:dyDescent="0.3">
      <c r="F75" s="6"/>
      <c r="I75" s="85">
        <v>2</v>
      </c>
      <c r="J75" s="167">
        <v>6565</v>
      </c>
      <c r="K75" s="120"/>
      <c r="M75" s="5" t="s">
        <v>132</v>
      </c>
      <c r="O75" s="1"/>
      <c r="P75" s="85"/>
      <c r="Q75" s="119"/>
      <c r="R75" s="163"/>
      <c r="S75" s="32"/>
    </row>
    <row r="76" spans="1:20" x14ac:dyDescent="0.25">
      <c r="A76" s="129" t="s">
        <v>99</v>
      </c>
      <c r="B76" s="26"/>
      <c r="C76" s="130"/>
      <c r="D76" s="131" t="s">
        <v>100</v>
      </c>
      <c r="E76" s="6"/>
      <c r="F76" s="6"/>
      <c r="G76" s="132"/>
      <c r="H76" s="6"/>
      <c r="I76" s="85">
        <v>2</v>
      </c>
      <c r="J76" s="119">
        <v>1831</v>
      </c>
      <c r="K76" s="120"/>
      <c r="M76" s="5" t="s">
        <v>42</v>
      </c>
      <c r="O76" s="1"/>
      <c r="P76" s="85"/>
      <c r="Q76" s="119"/>
      <c r="R76" s="16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/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/>
      <c r="M78" s="5" t="s">
        <v>90</v>
      </c>
      <c r="O78" s="1"/>
      <c r="P78" s="85"/>
      <c r="R78" s="163"/>
      <c r="S78" s="32"/>
    </row>
    <row r="79" spans="1:20" ht="18.75" thickBot="1" x14ac:dyDescent="0.3">
      <c r="A79" s="134" t="s">
        <v>104</v>
      </c>
      <c r="B79" s="135">
        <f>ROUND(SUM(B76:B78),2)</f>
        <v>0</v>
      </c>
      <c r="C79" s="130"/>
      <c r="D79" s="131"/>
      <c r="E79" s="6"/>
      <c r="F79" s="6"/>
      <c r="G79" s="129">
        <f>SUM(G76:G78)</f>
        <v>0</v>
      </c>
      <c r="H79" s="6" t="s">
        <v>105</v>
      </c>
      <c r="I79" s="85">
        <v>2</v>
      </c>
      <c r="J79" s="5">
        <v>6551</v>
      </c>
      <c r="K79" s="120"/>
      <c r="M79" s="5" t="s">
        <v>91</v>
      </c>
      <c r="O79" s="1"/>
      <c r="P79" s="85"/>
      <c r="R79" s="163"/>
      <c r="S79" s="32"/>
    </row>
    <row r="80" spans="1:20" ht="18.75" thickBot="1" x14ac:dyDescent="0.3">
      <c r="A80" s="1" t="s">
        <v>106</v>
      </c>
      <c r="B80" s="26">
        <f>850.29+2615.32</f>
        <v>3465.61</v>
      </c>
      <c r="H80" s="128" t="str">
        <f>IF(B79-G79=0,"ok","NO")</f>
        <v>ok</v>
      </c>
      <c r="I80" s="85">
        <v>2</v>
      </c>
      <c r="J80" s="5">
        <v>6040</v>
      </c>
      <c r="K80" s="120"/>
      <c r="M80" s="5" t="s">
        <v>131</v>
      </c>
      <c r="O80" s="1"/>
      <c r="P80" s="85"/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Q81" s="119"/>
      <c r="R81" s="163"/>
      <c r="S81" s="32"/>
    </row>
    <row r="82" spans="1:19" ht="18.75" thickBot="1" x14ac:dyDescent="0.3">
      <c r="B82" s="3">
        <f>+B80+B81</f>
        <v>3465.61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0</v>
      </c>
      <c r="O84" s="1"/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/>
      <c r="Q85" s="5"/>
      <c r="R85" s="164"/>
      <c r="S85" s="32"/>
    </row>
    <row r="86" spans="1:19" s="33" customFormat="1" x14ac:dyDescent="0.25">
      <c r="A86" s="5"/>
      <c r="B86" s="32">
        <f>+B83+O58</f>
        <v>0</v>
      </c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/>
      <c r="Q86" s="5"/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132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>
        <v>3</v>
      </c>
      <c r="B92" s="5"/>
      <c r="C92" s="5"/>
      <c r="D92" s="5"/>
      <c r="I92" s="85"/>
      <c r="K92" s="140">
        <f>+K74+K84+K90</f>
        <v>0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5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3258-1AF5-490A-924B-C8309C4D7FC1}">
  <sheetPr>
    <tabColor rgb="FF00B050"/>
    <pageSetUpPr fitToPage="1"/>
  </sheetPr>
  <dimension ref="A2:Z99"/>
  <sheetViews>
    <sheetView tabSelected="1" zoomScale="70" zoomScaleNormal="70" zoomScalePageLayoutView="70" workbookViewId="0">
      <selection activeCell="E27" sqref="E27"/>
    </sheetView>
  </sheetViews>
  <sheetFormatPr defaultColWidth="10.5" defaultRowHeight="18" x14ac:dyDescent="0.25"/>
  <cols>
    <col min="1" max="1" width="26.375" style="1" customWidth="1"/>
    <col min="2" max="2" width="21.375" style="3" customWidth="1"/>
    <col min="3" max="3" width="15.375" style="3" bestFit="1" customWidth="1"/>
    <col min="4" max="4" width="11.25" style="4" customWidth="1"/>
    <col min="5" max="5" width="3.5" style="5" customWidth="1"/>
    <col min="6" max="6" width="15.625" style="5" customWidth="1"/>
    <col min="7" max="7" width="18.125" style="5" customWidth="1"/>
    <col min="8" max="8" width="18.5" style="5" customWidth="1"/>
    <col min="9" max="9" width="6" style="5" customWidth="1"/>
    <col min="10" max="10" width="15.125" style="5" customWidth="1"/>
    <col min="11" max="11" width="23" style="5" bestFit="1" customWidth="1"/>
    <col min="12" max="12" width="4.625" style="5" customWidth="1"/>
    <col min="13" max="13" width="3" style="5" customWidth="1"/>
    <col min="14" max="14" width="15.75" style="5" bestFit="1" customWidth="1"/>
    <col min="15" max="15" width="19.875" style="5" customWidth="1"/>
    <col min="16" max="16" width="16.875" style="5" customWidth="1"/>
    <col min="17" max="17" width="15.25" style="5" customWidth="1"/>
    <col min="18" max="18" width="18.125" style="5" customWidth="1"/>
    <col min="19" max="19" width="15.75" style="5" customWidth="1"/>
    <col min="20" max="21" width="10.5" style="5" customWidth="1"/>
    <col min="22" max="22" width="12.875" style="5" customWidth="1"/>
    <col min="23" max="23" width="14.25" style="5" bestFit="1" customWidth="1"/>
    <col min="24" max="24" width="15.375" style="5" bestFit="1" customWidth="1"/>
    <col min="25" max="26" width="11.75" style="5" bestFit="1" customWidth="1"/>
    <col min="27" max="16384" width="10.5" style="5"/>
  </cols>
  <sheetData>
    <row r="2" spans="1:19" x14ac:dyDescent="0.25">
      <c r="B2" s="2"/>
      <c r="F2" s="6"/>
      <c r="H2" s="7" t="s">
        <v>0</v>
      </c>
      <c r="J2" s="8">
        <v>43826</v>
      </c>
      <c r="K2" s="9"/>
      <c r="M2" s="5" t="s">
        <v>1</v>
      </c>
    </row>
    <row r="3" spans="1:19" x14ac:dyDescent="0.25">
      <c r="A3" s="10" t="s">
        <v>2</v>
      </c>
      <c r="B3" s="8">
        <v>43819</v>
      </c>
      <c r="D3" s="7"/>
      <c r="E3" s="7"/>
      <c r="F3" s="11"/>
      <c r="I3" s="12"/>
      <c r="J3" s="13"/>
      <c r="K3" s="14"/>
      <c r="L3" s="7"/>
      <c r="M3" s="7"/>
    </row>
    <row r="4" spans="1:19" x14ac:dyDescent="0.25">
      <c r="A4" s="7"/>
      <c r="B4" s="14" t="s">
        <v>3</v>
      </c>
      <c r="C4" s="14"/>
      <c r="D4" s="7" t="s">
        <v>4</v>
      </c>
      <c r="E4" s="7"/>
      <c r="F4" s="15" t="s">
        <v>5</v>
      </c>
      <c r="G4" s="16" t="s">
        <v>6</v>
      </c>
      <c r="H4" s="15" t="s">
        <v>7</v>
      </c>
      <c r="I4" s="12"/>
      <c r="J4" s="13"/>
      <c r="K4" s="14"/>
      <c r="L4" s="7"/>
      <c r="M4" s="7"/>
      <c r="R4" s="7"/>
    </row>
    <row r="5" spans="1:19" ht="18.75" thickBot="1" x14ac:dyDescent="0.3">
      <c r="A5" s="17"/>
      <c r="B5" s="18" t="s">
        <v>8</v>
      </c>
      <c r="C5" s="18"/>
      <c r="D5" s="19" t="s">
        <v>9</v>
      </c>
      <c r="E5" s="19"/>
      <c r="F5" s="20" t="s">
        <v>10</v>
      </c>
      <c r="G5" s="19" t="s">
        <v>11</v>
      </c>
      <c r="H5" s="19" t="s">
        <v>12</v>
      </c>
      <c r="I5" s="12"/>
      <c r="J5" s="13"/>
      <c r="K5" s="21"/>
      <c r="M5" s="19"/>
    </row>
    <row r="6" spans="1:19" ht="18.75" thickBot="1" x14ac:dyDescent="0.3">
      <c r="A6" s="10" t="s">
        <v>13</v>
      </c>
      <c r="F6" s="6"/>
      <c r="I6" s="22">
        <v>1</v>
      </c>
      <c r="J6" s="23"/>
      <c r="Q6" s="23"/>
      <c r="R6" s="24">
        <v>0.7</v>
      </c>
    </row>
    <row r="7" spans="1:19" x14ac:dyDescent="0.25">
      <c r="A7" s="25" t="s">
        <v>14</v>
      </c>
      <c r="B7" s="26">
        <f>52578.76-B9</f>
        <v>51538.76</v>
      </c>
      <c r="C7" s="27"/>
      <c r="D7" s="28"/>
      <c r="E7" s="29"/>
      <c r="F7" s="30">
        <v>3521.63</v>
      </c>
      <c r="G7" s="30">
        <v>21298.75</v>
      </c>
      <c r="H7" s="31">
        <f t="shared" ref="H7:H31" si="0">B7-F7-G7</f>
        <v>26718.380000000005</v>
      </c>
      <c r="I7" s="12">
        <v>1</v>
      </c>
      <c r="J7" s="13">
        <v>6500</v>
      </c>
      <c r="K7" s="32">
        <f>H7+H31-H29</f>
        <v>26718.380000000005</v>
      </c>
      <c r="M7" s="5" t="s">
        <v>15</v>
      </c>
      <c r="P7" s="5">
        <v>1</v>
      </c>
      <c r="Q7" s="13">
        <v>6500</v>
      </c>
      <c r="R7" s="33">
        <f>+K7*$R$6</f>
        <v>18702.866000000002</v>
      </c>
      <c r="S7" s="32"/>
    </row>
    <row r="8" spans="1:19" x14ac:dyDescent="0.25">
      <c r="A8" s="34" t="s">
        <v>16</v>
      </c>
      <c r="B8" s="35"/>
      <c r="C8" s="27"/>
      <c r="F8" s="35"/>
      <c r="G8" s="36"/>
      <c r="H8" s="37">
        <f t="shared" si="0"/>
        <v>0</v>
      </c>
      <c r="I8" s="12">
        <v>1</v>
      </c>
      <c r="J8" s="13">
        <v>6505</v>
      </c>
      <c r="K8" s="32">
        <f>+H8</f>
        <v>0</v>
      </c>
      <c r="M8" s="5" t="s">
        <v>17</v>
      </c>
      <c r="P8" s="5">
        <v>1</v>
      </c>
      <c r="Q8" s="13">
        <v>6505</v>
      </c>
      <c r="R8" s="33"/>
    </row>
    <row r="9" spans="1:19" x14ac:dyDescent="0.25">
      <c r="A9" s="34" t="s">
        <v>18</v>
      </c>
      <c r="B9" s="38">
        <v>1040</v>
      </c>
      <c r="C9" s="27"/>
      <c r="F9" s="35"/>
      <c r="G9" s="36"/>
      <c r="H9" s="37">
        <f t="shared" si="0"/>
        <v>1040</v>
      </c>
      <c r="I9" s="12">
        <v>1</v>
      </c>
      <c r="J9" s="13">
        <v>6510</v>
      </c>
      <c r="K9" s="32">
        <f>+H9</f>
        <v>1040</v>
      </c>
      <c r="M9" s="5" t="s">
        <v>19</v>
      </c>
      <c r="P9" s="5">
        <v>1</v>
      </c>
      <c r="Q9" s="13">
        <v>6510</v>
      </c>
      <c r="R9" s="33"/>
    </row>
    <row r="10" spans="1:19" ht="18.75" thickBot="1" x14ac:dyDescent="0.3">
      <c r="A10" s="34" t="s">
        <v>20</v>
      </c>
      <c r="B10" s="38">
        <v>2633.96</v>
      </c>
      <c r="C10" s="27"/>
      <c r="F10" s="35"/>
      <c r="G10" s="35">
        <v>1932.09</v>
      </c>
      <c r="H10" s="37">
        <f t="shared" si="0"/>
        <v>701.87000000000012</v>
      </c>
      <c r="I10" s="12">
        <v>1</v>
      </c>
      <c r="J10" s="13">
        <v>6580</v>
      </c>
      <c r="K10" s="32">
        <f>ROUND($H$42+$H$43+$H$44+$H$45-$H$15+$H$46,2)</f>
        <v>2406.58</v>
      </c>
      <c r="M10" s="39" t="s">
        <v>21</v>
      </c>
      <c r="P10" s="5">
        <v>1</v>
      </c>
      <c r="Q10" s="13">
        <v>6580</v>
      </c>
      <c r="R10" s="33">
        <f>+K10*$R$6</f>
        <v>1684.6059999999998</v>
      </c>
      <c r="S10" s="32"/>
    </row>
    <row r="11" spans="1:19" x14ac:dyDescent="0.25">
      <c r="A11" s="34" t="s">
        <v>22</v>
      </c>
      <c r="B11" s="40">
        <v>3147.64</v>
      </c>
      <c r="C11" s="27"/>
      <c r="F11" s="41"/>
      <c r="G11" s="41"/>
      <c r="H11" s="37">
        <f t="shared" si="0"/>
        <v>3147.64</v>
      </c>
      <c r="I11" s="12">
        <v>1</v>
      </c>
      <c r="J11" s="13">
        <v>6630</v>
      </c>
      <c r="K11" s="32"/>
      <c r="M11" s="39" t="s">
        <v>23</v>
      </c>
      <c r="P11" s="5">
        <v>1</v>
      </c>
      <c r="Q11" s="13">
        <v>6630</v>
      </c>
      <c r="R11" s="33"/>
    </row>
    <row r="12" spans="1:19" x14ac:dyDescent="0.25">
      <c r="A12" s="34" t="s">
        <v>24</v>
      </c>
      <c r="B12" s="42">
        <v>736.14</v>
      </c>
      <c r="C12" s="27"/>
      <c r="F12" s="41"/>
      <c r="G12" s="41"/>
      <c r="H12" s="37">
        <f t="shared" si="0"/>
        <v>736.14</v>
      </c>
      <c r="I12" s="12">
        <v>1</v>
      </c>
      <c r="J12" s="13">
        <v>6570</v>
      </c>
      <c r="K12" s="32">
        <f>-H23+H51+H58</f>
        <v>440.61</v>
      </c>
      <c r="M12" s="5" t="s">
        <v>25</v>
      </c>
      <c r="P12" s="5">
        <v>1</v>
      </c>
      <c r="Q12" s="13">
        <v>6570</v>
      </c>
      <c r="R12" s="33">
        <f>+K12*R6</f>
        <v>308.42699999999996</v>
      </c>
      <c r="S12" s="32"/>
    </row>
    <row r="13" spans="1:19" x14ac:dyDescent="0.25">
      <c r="A13" s="34" t="s">
        <v>26</v>
      </c>
      <c r="B13" s="42">
        <v>4308.7299999999996</v>
      </c>
      <c r="C13" s="27"/>
      <c r="F13" s="41"/>
      <c r="G13" s="41"/>
      <c r="H13" s="37">
        <f t="shared" si="0"/>
        <v>4308.7299999999996</v>
      </c>
      <c r="I13" s="12">
        <v>1</v>
      </c>
      <c r="J13" s="13">
        <v>6571</v>
      </c>
      <c r="K13" s="32">
        <f>ROUND(H55,2)</f>
        <v>706.55</v>
      </c>
      <c r="M13" s="43" t="s">
        <v>27</v>
      </c>
      <c r="P13" s="5">
        <v>1</v>
      </c>
      <c r="Q13" s="13">
        <v>6571</v>
      </c>
      <c r="R13" s="33">
        <f>+K13*$R$6</f>
        <v>494.58499999999992</v>
      </c>
      <c r="S13" s="32"/>
    </row>
    <row r="14" spans="1:19" x14ac:dyDescent="0.25">
      <c r="A14" s="34" t="s">
        <v>28</v>
      </c>
      <c r="B14" s="42">
        <v>2271.86</v>
      </c>
      <c r="C14" s="27"/>
      <c r="F14" s="41"/>
      <c r="G14" s="41"/>
      <c r="H14" s="37">
        <f t="shared" si="0"/>
        <v>2271.86</v>
      </c>
      <c r="I14" s="12">
        <v>1</v>
      </c>
      <c r="J14" s="13">
        <v>6630</v>
      </c>
      <c r="K14" s="32"/>
      <c r="M14" s="5" t="s">
        <v>29</v>
      </c>
      <c r="P14" s="5">
        <v>1</v>
      </c>
      <c r="Q14" s="13">
        <v>6630</v>
      </c>
      <c r="R14" s="33"/>
    </row>
    <row r="15" spans="1:19" x14ac:dyDescent="0.25">
      <c r="A15" s="34" t="s">
        <v>30</v>
      </c>
      <c r="B15" s="42">
        <v>26.4</v>
      </c>
      <c r="C15" s="27"/>
      <c r="F15" s="44">
        <v>1.2</v>
      </c>
      <c r="G15" s="44">
        <v>8.4</v>
      </c>
      <c r="H15" s="37">
        <f t="shared" si="0"/>
        <v>16.799999999999997</v>
      </c>
      <c r="I15" s="45"/>
      <c r="J15" s="46" t="s">
        <v>31</v>
      </c>
      <c r="K15" s="47">
        <f>H10-K74</f>
        <v>-656.61999999999989</v>
      </c>
      <c r="L15" s="48"/>
      <c r="M15" s="48" t="s">
        <v>32</v>
      </c>
      <c r="N15" s="49"/>
      <c r="O15" s="48"/>
      <c r="P15" s="5">
        <v>1</v>
      </c>
      <c r="Q15" s="46" t="s">
        <v>31</v>
      </c>
      <c r="R15" s="50"/>
    </row>
    <row r="16" spans="1:19" ht="18.75" thickBot="1" x14ac:dyDescent="0.3">
      <c r="A16" s="34" t="s">
        <v>33</v>
      </c>
      <c r="B16" s="51">
        <v>45.73</v>
      </c>
      <c r="C16" s="27"/>
      <c r="D16" s="7"/>
      <c r="F16" s="44">
        <v>3.77</v>
      </c>
      <c r="G16" s="44">
        <v>11.77</v>
      </c>
      <c r="H16" s="37">
        <f t="shared" si="0"/>
        <v>30.189999999999994</v>
      </c>
      <c r="I16" s="52">
        <v>1</v>
      </c>
      <c r="J16" s="10">
        <v>2120</v>
      </c>
      <c r="K16" s="21">
        <f>-H16</f>
        <v>-30.189999999999994</v>
      </c>
      <c r="L16" s="1"/>
      <c r="M16" s="1" t="s">
        <v>34</v>
      </c>
      <c r="O16" s="1"/>
      <c r="P16" s="5">
        <v>1</v>
      </c>
      <c r="Q16" s="10">
        <v>2120</v>
      </c>
      <c r="R16" s="33">
        <f>+K16*$R$6</f>
        <v>-21.132999999999996</v>
      </c>
      <c r="S16" s="32"/>
    </row>
    <row r="17" spans="1:26" x14ac:dyDescent="0.25">
      <c r="A17" s="34" t="s">
        <v>35</v>
      </c>
      <c r="B17" s="40">
        <v>14.64</v>
      </c>
      <c r="C17" s="27"/>
      <c r="D17" s="54"/>
      <c r="F17" s="41"/>
      <c r="G17" s="55"/>
      <c r="H17" s="37">
        <f t="shared" si="0"/>
        <v>14.64</v>
      </c>
      <c r="I17" s="12">
        <v>1</v>
      </c>
      <c r="J17" s="13">
        <v>1830</v>
      </c>
      <c r="K17" s="56">
        <f>ROUND(-H20-H27-H17-H18-H21-H26-H28,2)</f>
        <v>-948.47</v>
      </c>
      <c r="M17" s="5" t="s">
        <v>36</v>
      </c>
      <c r="P17" s="5">
        <v>1</v>
      </c>
      <c r="Q17" s="13">
        <v>1830</v>
      </c>
      <c r="R17" s="33">
        <f>+K17*$R$6</f>
        <v>-663.92899999999997</v>
      </c>
      <c r="S17" s="32"/>
    </row>
    <row r="18" spans="1:26" x14ac:dyDescent="0.25">
      <c r="A18" s="34" t="s">
        <v>37</v>
      </c>
      <c r="B18" s="42">
        <v>87.96</v>
      </c>
      <c r="C18" s="27"/>
      <c r="D18" s="54"/>
      <c r="F18" s="41"/>
      <c r="G18" s="44">
        <v>59.88</v>
      </c>
      <c r="H18" s="37">
        <f t="shared" si="0"/>
        <v>28.079999999999991</v>
      </c>
      <c r="I18" s="12">
        <v>1</v>
      </c>
      <c r="J18" s="13">
        <v>6610</v>
      </c>
      <c r="K18" s="58">
        <f>ROUND(H66,2)</f>
        <v>0</v>
      </c>
      <c r="M18" s="5" t="s">
        <v>38</v>
      </c>
      <c r="P18" s="5">
        <v>1</v>
      </c>
      <c r="Q18" s="13">
        <v>6610</v>
      </c>
      <c r="R18" s="33"/>
    </row>
    <row r="19" spans="1:26" x14ac:dyDescent="0.25">
      <c r="A19" s="34" t="s">
        <v>39</v>
      </c>
      <c r="B19" s="42"/>
      <c r="C19" s="27"/>
      <c r="F19" s="41"/>
      <c r="G19" s="55"/>
      <c r="H19" s="37">
        <f t="shared" si="0"/>
        <v>0</v>
      </c>
      <c r="I19" s="12">
        <v>1</v>
      </c>
      <c r="J19" s="13">
        <v>6300</v>
      </c>
      <c r="K19" s="32">
        <f>ROUND(H70,2)</f>
        <v>299.77</v>
      </c>
      <c r="M19" s="5" t="s">
        <v>40</v>
      </c>
      <c r="P19" s="5">
        <v>1</v>
      </c>
      <c r="Q19" s="13">
        <v>6300</v>
      </c>
      <c r="R19" s="33">
        <f>+K19*$R$6</f>
        <v>209.83899999999997</v>
      </c>
      <c r="S19" s="32"/>
    </row>
    <row r="20" spans="1:26" x14ac:dyDescent="0.25">
      <c r="A20" s="34" t="s">
        <v>41</v>
      </c>
      <c r="B20" s="42">
        <v>1463.39</v>
      </c>
      <c r="C20" s="27"/>
      <c r="F20" s="41"/>
      <c r="G20" s="44">
        <v>809.87</v>
      </c>
      <c r="H20" s="37">
        <f t="shared" si="0"/>
        <v>653.5200000000001</v>
      </c>
      <c r="I20" s="12">
        <v>1</v>
      </c>
      <c r="J20" s="13">
        <v>6940</v>
      </c>
      <c r="K20" s="32">
        <f>H30</f>
        <v>0</v>
      </c>
      <c r="M20" s="5" t="s">
        <v>42</v>
      </c>
      <c r="P20" s="5">
        <v>1</v>
      </c>
      <c r="Q20" s="13">
        <v>6940</v>
      </c>
      <c r="R20" s="33"/>
    </row>
    <row r="21" spans="1:26" x14ac:dyDescent="0.25">
      <c r="A21" s="34" t="s">
        <v>43</v>
      </c>
      <c r="B21" s="42">
        <v>150</v>
      </c>
      <c r="C21" s="27"/>
      <c r="D21" s="54"/>
      <c r="F21" s="41"/>
      <c r="G21" s="44">
        <v>126</v>
      </c>
      <c r="H21" s="37">
        <f t="shared" si="0"/>
        <v>24</v>
      </c>
      <c r="I21" s="12">
        <v>1</v>
      </c>
      <c r="J21" s="13">
        <v>6630</v>
      </c>
      <c r="K21" s="32"/>
      <c r="M21" s="5" t="s">
        <v>29</v>
      </c>
      <c r="O21" s="5" t="s">
        <v>44</v>
      </c>
      <c r="P21" s="5">
        <v>1</v>
      </c>
      <c r="Q21" s="13">
        <v>6630</v>
      </c>
      <c r="R21" s="33"/>
    </row>
    <row r="22" spans="1:26" x14ac:dyDescent="0.25">
      <c r="A22" s="34" t="s">
        <v>45</v>
      </c>
      <c r="B22" s="42"/>
      <c r="C22" s="27"/>
      <c r="F22" s="41"/>
      <c r="G22" s="55"/>
      <c r="H22" s="37">
        <f t="shared" si="0"/>
        <v>0</v>
      </c>
      <c r="I22" s="12">
        <v>1</v>
      </c>
      <c r="J22" s="13">
        <v>1200</v>
      </c>
      <c r="K22" s="32"/>
      <c r="M22" s="5" t="s">
        <v>46</v>
      </c>
      <c r="P22" s="5">
        <v>1</v>
      </c>
      <c r="Q22" s="13">
        <v>1200</v>
      </c>
      <c r="R22" s="33"/>
    </row>
    <row r="23" spans="1:26" ht="18.75" thickBot="1" x14ac:dyDescent="0.3">
      <c r="A23" s="34" t="s">
        <v>47</v>
      </c>
      <c r="B23" s="42">
        <v>1990.3</v>
      </c>
      <c r="C23" s="27"/>
      <c r="F23" s="44">
        <v>172.48</v>
      </c>
      <c r="G23" s="44">
        <v>688.72</v>
      </c>
      <c r="H23" s="37">
        <f t="shared" si="0"/>
        <v>1129.0999999999999</v>
      </c>
      <c r="I23" s="12"/>
      <c r="J23" s="13"/>
      <c r="K23" s="59">
        <f>SUM(K7:K22)</f>
        <v>29976.610000000008</v>
      </c>
      <c r="N23" s="1">
        <v>2040</v>
      </c>
      <c r="P23" s="5">
        <v>1</v>
      </c>
      <c r="Q23" s="13">
        <v>2040</v>
      </c>
      <c r="R23" s="60">
        <f>SUM(R7:R22)</f>
        <v>20715.260999999999</v>
      </c>
      <c r="S23" s="6"/>
      <c r="V23" s="32"/>
    </row>
    <row r="24" spans="1:26" ht="18.75" thickTop="1" x14ac:dyDescent="0.25">
      <c r="A24" s="34" t="s">
        <v>48</v>
      </c>
      <c r="B24" s="42">
        <v>342.23</v>
      </c>
      <c r="C24" s="27"/>
      <c r="F24" s="41"/>
      <c r="G24" s="44"/>
      <c r="H24" s="37">
        <f t="shared" si="0"/>
        <v>342.23</v>
      </c>
      <c r="I24" s="12"/>
      <c r="J24" s="13"/>
      <c r="K24" s="32"/>
      <c r="Q24" s="13"/>
      <c r="R24" s="33"/>
    </row>
    <row r="25" spans="1:26" x14ac:dyDescent="0.25">
      <c r="A25" s="34" t="s">
        <v>49</v>
      </c>
      <c r="B25" s="42">
        <v>132.66999999999999</v>
      </c>
      <c r="C25" s="27"/>
      <c r="F25" s="44">
        <v>101.92</v>
      </c>
      <c r="G25" s="44"/>
      <c r="H25" s="37">
        <f t="shared" si="0"/>
        <v>30.749999999999986</v>
      </c>
      <c r="I25" s="61">
        <v>2</v>
      </c>
      <c r="J25" s="62"/>
      <c r="K25" s="32"/>
      <c r="Q25" s="62"/>
      <c r="R25" s="33"/>
      <c r="V25" s="32"/>
    </row>
    <row r="26" spans="1:26" x14ac:dyDescent="0.25">
      <c r="A26" s="34" t="s">
        <v>50</v>
      </c>
      <c r="B26" s="42">
        <v>84.54</v>
      </c>
      <c r="C26" s="27"/>
      <c r="D26" s="54"/>
      <c r="F26" s="41"/>
      <c r="G26" s="55"/>
      <c r="H26" s="37">
        <f t="shared" si="0"/>
        <v>84.54</v>
      </c>
      <c r="I26" s="12">
        <v>2</v>
      </c>
      <c r="J26" s="13">
        <v>6500</v>
      </c>
      <c r="K26" s="32">
        <f>G7+G31-G29</f>
        <v>21298.75</v>
      </c>
      <c r="M26" s="5" t="s">
        <v>51</v>
      </c>
      <c r="O26" s="32"/>
      <c r="P26" s="5">
        <v>2</v>
      </c>
      <c r="Q26" s="13">
        <v>6500</v>
      </c>
      <c r="R26" s="33">
        <f>+K26*R6</f>
        <v>14909.124999999998</v>
      </c>
      <c r="S26" s="32"/>
      <c r="X26" s="32"/>
    </row>
    <row r="27" spans="1:26" x14ac:dyDescent="0.25">
      <c r="A27" s="34" t="s">
        <v>52</v>
      </c>
      <c r="B27" s="42">
        <v>114.66</v>
      </c>
      <c r="C27" s="63"/>
      <c r="F27" s="41"/>
      <c r="G27" s="55"/>
      <c r="H27" s="37">
        <f t="shared" si="0"/>
        <v>114.66</v>
      </c>
      <c r="I27" s="12">
        <v>2</v>
      </c>
      <c r="J27" s="13">
        <v>6505</v>
      </c>
      <c r="K27" s="32">
        <f>+G8</f>
        <v>0</v>
      </c>
      <c r="M27" s="5" t="s">
        <v>53</v>
      </c>
      <c r="P27" s="5">
        <v>2</v>
      </c>
      <c r="Q27" s="13">
        <v>6505</v>
      </c>
      <c r="R27" s="33"/>
      <c r="S27" s="32"/>
      <c r="Z27" s="5" t="s">
        <v>54</v>
      </c>
    </row>
    <row r="28" spans="1:26" ht="18.75" thickBot="1" x14ac:dyDescent="0.3">
      <c r="A28" s="34" t="s">
        <v>55</v>
      </c>
      <c r="B28" s="51">
        <v>58.15</v>
      </c>
      <c r="C28" s="27"/>
      <c r="D28" s="54"/>
      <c r="F28" s="44">
        <v>10.75</v>
      </c>
      <c r="G28" s="44">
        <v>18.37</v>
      </c>
      <c r="H28" s="37">
        <f t="shared" si="0"/>
        <v>29.029999999999998</v>
      </c>
      <c r="I28" s="12">
        <v>2</v>
      </c>
      <c r="J28" s="13">
        <v>6510</v>
      </c>
      <c r="K28" s="32">
        <f>+G9</f>
        <v>0</v>
      </c>
      <c r="M28" s="5" t="s">
        <v>56</v>
      </c>
      <c r="P28" s="5">
        <v>2</v>
      </c>
      <c r="Q28" s="13">
        <v>6510</v>
      </c>
      <c r="R28" s="33"/>
      <c r="S28" s="32"/>
    </row>
    <row r="29" spans="1:26" x14ac:dyDescent="0.25">
      <c r="A29" s="34" t="s">
        <v>57</v>
      </c>
      <c r="B29" s="168"/>
      <c r="C29" s="65">
        <f t="shared" ref="C29:C30" si="1">B29-F29-G29-H29</f>
        <v>0</v>
      </c>
      <c r="D29" s="172">
        <v>6500</v>
      </c>
      <c r="F29" s="66"/>
      <c r="G29" s="67"/>
      <c r="H29" s="37">
        <f t="shared" si="0"/>
        <v>0</v>
      </c>
      <c r="I29" s="12">
        <v>2</v>
      </c>
      <c r="J29" s="13">
        <v>6580</v>
      </c>
      <c r="K29" s="32">
        <f>ROUND($G$42+$G$43+$G$44+$G$45-$G$15+$G$46,2)</f>
        <v>1398.23</v>
      </c>
      <c r="M29" s="39" t="s">
        <v>21</v>
      </c>
      <c r="P29" s="5">
        <v>2</v>
      </c>
      <c r="Q29" s="13">
        <v>6580</v>
      </c>
      <c r="R29" s="33">
        <f>+K29*R6</f>
        <v>978.76099999999997</v>
      </c>
      <c r="S29" s="32"/>
    </row>
    <row r="30" spans="1:26" x14ac:dyDescent="0.25">
      <c r="A30" s="34" t="s">
        <v>58</v>
      </c>
      <c r="B30" s="57"/>
      <c r="C30" s="27">
        <f t="shared" si="1"/>
        <v>0</v>
      </c>
      <c r="D30" s="4">
        <v>6940</v>
      </c>
      <c r="F30" s="68"/>
      <c r="G30" s="67"/>
      <c r="H30" s="37">
        <f t="shared" si="0"/>
        <v>0</v>
      </c>
      <c r="I30" s="12">
        <v>2</v>
      </c>
      <c r="J30" s="13">
        <v>6630</v>
      </c>
      <c r="K30" s="32"/>
      <c r="M30" s="39" t="s">
        <v>23</v>
      </c>
      <c r="P30" s="5">
        <v>2</v>
      </c>
      <c r="Q30" s="13">
        <v>6630</v>
      </c>
      <c r="R30" s="33"/>
      <c r="S30" s="32"/>
    </row>
    <row r="31" spans="1:26" x14ac:dyDescent="0.25">
      <c r="A31" s="34" t="s">
        <v>59</v>
      </c>
      <c r="B31" s="57"/>
      <c r="C31" s="27">
        <f>B31-F31-G31-H31</f>
        <v>0</v>
      </c>
      <c r="D31" s="4">
        <v>6500</v>
      </c>
      <c r="F31" s="69"/>
      <c r="G31" s="70"/>
      <c r="H31" s="37">
        <f t="shared" si="0"/>
        <v>0</v>
      </c>
      <c r="I31" s="12">
        <v>2</v>
      </c>
      <c r="J31" s="13">
        <v>6570</v>
      </c>
      <c r="K31" s="32">
        <f>-$G$23+$G$51+$G$58</f>
        <v>220.3</v>
      </c>
      <c r="M31" s="5" t="s">
        <v>25</v>
      </c>
      <c r="P31" s="5">
        <v>2</v>
      </c>
      <c r="Q31" s="13">
        <v>6570</v>
      </c>
      <c r="R31" s="33">
        <f>+K31*$R$6</f>
        <v>154.21</v>
      </c>
      <c r="S31" s="32"/>
    </row>
    <row r="32" spans="1:26" ht="18.75" thickBot="1" x14ac:dyDescent="0.3">
      <c r="A32" s="34" t="s">
        <v>60</v>
      </c>
      <c r="B32" s="71">
        <f>B7+B8+B10-B11-B12-B13-B14-B15-B16-B19-B29-B20-B26-B25-B28-B17-B21-B18-B23-B22-B24+B30+B31-B27+B9</f>
        <v>40237.679999999993</v>
      </c>
      <c r="C32" s="72">
        <f>B32-F32-G32-H32</f>
        <v>925.33999999998741</v>
      </c>
      <c r="D32" s="71"/>
      <c r="E32" s="71"/>
      <c r="F32" s="71">
        <f>F7+F8+F10-F11-F12-F13-F14-F15-F16-F19-F29-F20-F26-F25-F28-F17-F21-F18-F23-F22-F24+F30+F31-F27+F9</f>
        <v>3231.51</v>
      </c>
      <c r="G32" s="71">
        <f>G7+G8+G10-G11-G12-G13-G14-G15-G16-G19-G29-G20-G26-G25-G28-G17-G21-G18-G23-G22-G24+G30+G31-G27+G9</f>
        <v>21507.829999999998</v>
      </c>
      <c r="H32" s="71">
        <f>H7+H8+H10-H11-H12-H13-H14-H15-H16-H19-H29-H20-H26-H25-H28-H17-H21-H18-H23-H22-H24+H30+H31</f>
        <v>14573.000000000005</v>
      </c>
      <c r="I32" s="12">
        <v>2</v>
      </c>
      <c r="J32" s="13">
        <v>6571</v>
      </c>
      <c r="K32" s="32">
        <f>G55</f>
        <v>438.76</v>
      </c>
      <c r="M32" s="43" t="s">
        <v>27</v>
      </c>
      <c r="P32" s="5">
        <v>2</v>
      </c>
      <c r="Q32" s="13">
        <v>6571</v>
      </c>
      <c r="R32" s="33">
        <f>+K32*$R$6</f>
        <v>307.13199999999995</v>
      </c>
      <c r="S32" s="32"/>
    </row>
    <row r="33" spans="1:22" ht="19.5" thickTop="1" thickBot="1" x14ac:dyDescent="0.3">
      <c r="A33" s="73"/>
      <c r="B33" s="74"/>
      <c r="C33" s="74"/>
      <c r="D33" s="75"/>
      <c r="E33" s="76"/>
      <c r="F33" s="77"/>
      <c r="G33" s="78"/>
      <c r="H33" s="79"/>
      <c r="I33" s="12">
        <v>2</v>
      </c>
      <c r="J33" s="13">
        <v>6571</v>
      </c>
      <c r="K33" s="32">
        <f>+G56</f>
        <v>0</v>
      </c>
      <c r="M33" s="5" t="s">
        <v>61</v>
      </c>
      <c r="O33" s="1"/>
      <c r="P33" s="5">
        <v>2</v>
      </c>
      <c r="Q33" s="13">
        <v>6571</v>
      </c>
      <c r="R33" s="33"/>
      <c r="S33" s="32"/>
    </row>
    <row r="34" spans="1:22" x14ac:dyDescent="0.25">
      <c r="F34" s="6"/>
      <c r="G34" s="32"/>
      <c r="H34" s="32">
        <v>0</v>
      </c>
      <c r="I34" s="45" t="s">
        <v>62</v>
      </c>
      <c r="J34" s="46" t="s">
        <v>63</v>
      </c>
      <c r="K34" s="47">
        <f>G10+G31-K84</f>
        <v>656.02</v>
      </c>
      <c r="L34" s="48"/>
      <c r="M34" s="48" t="s">
        <v>32</v>
      </c>
      <c r="N34" s="48"/>
      <c r="O34" s="48"/>
      <c r="P34" s="5">
        <v>2</v>
      </c>
      <c r="Q34" s="46" t="s">
        <v>63</v>
      </c>
      <c r="R34" s="50"/>
      <c r="S34" s="32"/>
    </row>
    <row r="35" spans="1:22" x14ac:dyDescent="0.25">
      <c r="A35" s="1" t="s">
        <v>64</v>
      </c>
      <c r="F35" s="6"/>
      <c r="G35" s="32"/>
      <c r="H35" s="32"/>
      <c r="I35" s="52">
        <v>2</v>
      </c>
      <c r="J35" s="10">
        <v>2120</v>
      </c>
      <c r="K35" s="21">
        <f>-G16</f>
        <v>-11.77</v>
      </c>
      <c r="L35" s="1"/>
      <c r="M35" s="1" t="s">
        <v>34</v>
      </c>
      <c r="O35" s="1"/>
      <c r="P35" s="5">
        <v>2</v>
      </c>
      <c r="Q35" s="10">
        <v>2120</v>
      </c>
      <c r="R35" s="33">
        <f>+K35*$R$6</f>
        <v>-8.238999999999999</v>
      </c>
      <c r="S35" s="32"/>
    </row>
    <row r="36" spans="1:22" ht="18.75" thickBot="1" x14ac:dyDescent="0.3">
      <c r="A36" s="23" t="s">
        <v>65</v>
      </c>
      <c r="F36" s="6"/>
      <c r="G36" s="32"/>
      <c r="H36" s="32"/>
      <c r="I36" s="12">
        <v>2</v>
      </c>
      <c r="J36" s="13">
        <v>1830</v>
      </c>
      <c r="K36" s="21">
        <f>ROUND(-G17-G18-G20-G21-G26-G28,2)</f>
        <v>-1014.12</v>
      </c>
      <c r="M36" s="5" t="s">
        <v>36</v>
      </c>
      <c r="O36" s="1"/>
      <c r="P36" s="5">
        <v>2</v>
      </c>
      <c r="Q36" s="13">
        <v>1830</v>
      </c>
      <c r="R36" s="33">
        <f>+K36*$R$6</f>
        <v>-709.88400000000001</v>
      </c>
      <c r="S36" s="32"/>
    </row>
    <row r="37" spans="1:22" x14ac:dyDescent="0.25">
      <c r="A37" s="25" t="s">
        <v>66</v>
      </c>
      <c r="B37" s="80">
        <f>B11</f>
        <v>3147.64</v>
      </c>
      <c r="C37" s="27">
        <f>B37-F37-G37-H37</f>
        <v>0</v>
      </c>
      <c r="D37" s="28">
        <v>2100</v>
      </c>
      <c r="E37" s="29"/>
      <c r="F37" s="81">
        <v>0</v>
      </c>
      <c r="G37" s="80">
        <v>0</v>
      </c>
      <c r="H37" s="31">
        <f>B37-G37-F37</f>
        <v>3147.64</v>
      </c>
      <c r="I37" s="12">
        <v>2</v>
      </c>
      <c r="J37" s="13">
        <v>6610</v>
      </c>
      <c r="K37" s="82">
        <f>ROUND(G66,2)</f>
        <v>0</v>
      </c>
      <c r="M37" s="5" t="s">
        <v>38</v>
      </c>
      <c r="O37" s="1"/>
      <c r="P37" s="5">
        <v>2</v>
      </c>
      <c r="Q37" s="13">
        <v>6610</v>
      </c>
      <c r="R37" s="33"/>
      <c r="S37" s="32"/>
      <c r="V37" s="32"/>
    </row>
    <row r="38" spans="1:22" x14ac:dyDescent="0.25">
      <c r="A38" s="34" t="s">
        <v>67</v>
      </c>
      <c r="B38" s="83">
        <f>B12</f>
        <v>736.14</v>
      </c>
      <c r="C38" s="27">
        <f>B38-F38-G38-H38</f>
        <v>0</v>
      </c>
      <c r="D38" s="4">
        <v>2100</v>
      </c>
      <c r="F38" s="6">
        <v>0</v>
      </c>
      <c r="G38" s="83">
        <v>0</v>
      </c>
      <c r="H38" s="37">
        <f>B38-G38-F38</f>
        <v>736.14</v>
      </c>
      <c r="I38" s="12">
        <v>2</v>
      </c>
      <c r="J38" s="13">
        <v>6300</v>
      </c>
      <c r="K38" s="84">
        <f>ROUND(G70,2)</f>
        <v>149.88999999999999</v>
      </c>
      <c r="M38" s="5" t="s">
        <v>40</v>
      </c>
      <c r="O38" s="1"/>
      <c r="P38" s="5">
        <v>2</v>
      </c>
      <c r="Q38" s="13">
        <v>6300</v>
      </c>
      <c r="R38" s="33">
        <f>+K38*$R$6</f>
        <v>104.92299999999999</v>
      </c>
      <c r="S38" s="32"/>
    </row>
    <row r="39" spans="1:22" x14ac:dyDescent="0.25">
      <c r="A39" s="34" t="s">
        <v>68</v>
      </c>
      <c r="B39" s="83">
        <f>B13</f>
        <v>4308.7299999999996</v>
      </c>
      <c r="C39" s="27">
        <f>B39-F39-G39-H39</f>
        <v>0</v>
      </c>
      <c r="D39" s="4">
        <v>2110</v>
      </c>
      <c r="F39" s="6">
        <v>0</v>
      </c>
      <c r="G39" s="83">
        <v>0</v>
      </c>
      <c r="H39" s="37">
        <f>B39-G39-F39</f>
        <v>4308.7299999999996</v>
      </c>
      <c r="I39" s="12">
        <v>2</v>
      </c>
      <c r="J39" s="13">
        <v>6940</v>
      </c>
      <c r="K39" s="32">
        <f>G30</f>
        <v>0</v>
      </c>
      <c r="M39" s="5" t="s">
        <v>42</v>
      </c>
      <c r="O39" s="1"/>
      <c r="P39" s="5">
        <v>2</v>
      </c>
      <c r="Q39" s="13">
        <v>6940</v>
      </c>
      <c r="R39" s="33"/>
    </row>
    <row r="40" spans="1:22" ht="18.75" thickBot="1" x14ac:dyDescent="0.3">
      <c r="A40" s="34" t="s">
        <v>69</v>
      </c>
      <c r="B40" s="83">
        <f>B14</f>
        <v>2271.86</v>
      </c>
      <c r="C40" s="27">
        <f>B40-F40-G40-H40</f>
        <v>0</v>
      </c>
      <c r="D40" s="4">
        <v>2120</v>
      </c>
      <c r="F40" s="6">
        <v>0</v>
      </c>
      <c r="G40" s="83">
        <v>0</v>
      </c>
      <c r="H40" s="37">
        <f>B40-G40-F40</f>
        <v>2271.86</v>
      </c>
      <c r="I40" s="85"/>
      <c r="J40" s="5">
        <v>2040</v>
      </c>
      <c r="K40" s="86">
        <f>SUM(K26:K39)</f>
        <v>23136.059999999998</v>
      </c>
      <c r="N40" s="1">
        <v>2040</v>
      </c>
      <c r="O40" s="1"/>
      <c r="P40" s="5">
        <v>2</v>
      </c>
      <c r="Q40" s="5">
        <v>2040</v>
      </c>
      <c r="R40" s="86">
        <f>SUM(R26:R39)</f>
        <v>15736.027999999998</v>
      </c>
    </row>
    <row r="41" spans="1:22" ht="18.75" thickTop="1" x14ac:dyDescent="0.25">
      <c r="A41" s="87" t="s">
        <v>70</v>
      </c>
      <c r="B41" s="83"/>
      <c r="C41" s="27"/>
      <c r="F41" s="6"/>
      <c r="G41" s="88"/>
      <c r="H41" s="37"/>
      <c r="I41" s="12"/>
      <c r="J41" s="13"/>
      <c r="K41" s="32"/>
      <c r="O41" s="1"/>
      <c r="Q41" s="13"/>
      <c r="R41" s="33"/>
    </row>
    <row r="42" spans="1:22" x14ac:dyDescent="0.25">
      <c r="A42" s="34" t="s">
        <v>66</v>
      </c>
      <c r="B42" s="89">
        <v>3147.68</v>
      </c>
      <c r="C42" s="27">
        <f>B42-F42-G42-H42</f>
        <v>0</v>
      </c>
      <c r="D42" s="4">
        <v>6580</v>
      </c>
      <c r="F42" s="90">
        <v>146.44999999999999</v>
      </c>
      <c r="G42" s="90">
        <v>1070.54</v>
      </c>
      <c r="H42" s="37">
        <f>B42-F42-G42</f>
        <v>1930.69</v>
      </c>
      <c r="I42" s="22">
        <v>3</v>
      </c>
      <c r="J42" s="23"/>
      <c r="O42" s="1"/>
      <c r="Q42" s="23"/>
      <c r="R42" s="33"/>
    </row>
    <row r="43" spans="1:22" x14ac:dyDescent="0.25">
      <c r="A43" s="34" t="s">
        <v>67</v>
      </c>
      <c r="B43" s="89">
        <v>736.16</v>
      </c>
      <c r="C43" s="27">
        <f>B43-F43-G43-H43</f>
        <v>0</v>
      </c>
      <c r="D43" s="4">
        <v>6580</v>
      </c>
      <c r="F43" s="90">
        <v>34.25</v>
      </c>
      <c r="G43" s="90">
        <v>250.37</v>
      </c>
      <c r="H43" s="37">
        <f>B43-F43-G43</f>
        <v>451.53999999999996</v>
      </c>
      <c r="I43" s="12">
        <v>3</v>
      </c>
      <c r="J43" s="13">
        <v>6500</v>
      </c>
      <c r="K43" s="92">
        <f>F7+F31-F29</f>
        <v>3521.63</v>
      </c>
      <c r="M43" s="5" t="s">
        <v>71</v>
      </c>
      <c r="O43" s="1"/>
      <c r="P43" s="5">
        <v>3</v>
      </c>
      <c r="Q43" s="13">
        <v>6500</v>
      </c>
      <c r="R43" s="33">
        <f>+K43*$R$6</f>
        <v>2465.1410000000001</v>
      </c>
      <c r="S43" s="32"/>
    </row>
    <row r="44" spans="1:22" x14ac:dyDescent="0.25">
      <c r="A44" s="34" t="s">
        <v>72</v>
      </c>
      <c r="B44" s="89">
        <v>20.309999999999999</v>
      </c>
      <c r="C44" s="27">
        <f>B44-F44-G44-H44</f>
        <v>0</v>
      </c>
      <c r="D44" s="4">
        <v>6580</v>
      </c>
      <c r="F44" s="90"/>
      <c r="G44" s="91">
        <v>20.37</v>
      </c>
      <c r="H44" s="37">
        <f>B44-G44-F44</f>
        <v>-6.0000000000002274E-2</v>
      </c>
      <c r="I44" s="12">
        <v>3</v>
      </c>
      <c r="J44" s="13">
        <v>6505</v>
      </c>
      <c r="K44" s="92">
        <f>+F8</f>
        <v>0</v>
      </c>
      <c r="M44" s="5" t="s">
        <v>73</v>
      </c>
      <c r="O44" s="1"/>
      <c r="P44" s="5">
        <v>3</v>
      </c>
      <c r="Q44" s="13">
        <v>6505</v>
      </c>
      <c r="R44" s="33"/>
    </row>
    <row r="45" spans="1:22" x14ac:dyDescent="0.25">
      <c r="A45" s="34" t="s">
        <v>74</v>
      </c>
      <c r="B45" s="89">
        <v>102.12</v>
      </c>
      <c r="C45" s="27">
        <f>B45-F45-G45-H45</f>
        <v>0</v>
      </c>
      <c r="D45" s="4">
        <v>6580</v>
      </c>
      <c r="F45" s="90"/>
      <c r="G45" s="94">
        <v>65.349999999999994</v>
      </c>
      <c r="H45" s="37">
        <f>B45-G45-F45</f>
        <v>36.77000000000001</v>
      </c>
      <c r="I45" s="12">
        <v>3</v>
      </c>
      <c r="J45" s="13">
        <v>6510</v>
      </c>
      <c r="K45" s="92">
        <f>+F9</f>
        <v>0</v>
      </c>
      <c r="M45" s="5" t="s">
        <v>75</v>
      </c>
      <c r="O45" s="1"/>
      <c r="P45" s="5">
        <v>3</v>
      </c>
      <c r="Q45" s="13">
        <v>6510</v>
      </c>
      <c r="R45" s="33"/>
    </row>
    <row r="46" spans="1:22" x14ac:dyDescent="0.25">
      <c r="A46" s="34" t="s">
        <v>76</v>
      </c>
      <c r="B46" s="89">
        <v>4.4400000000000004</v>
      </c>
      <c r="C46" s="27">
        <f>B46-F46-G46-H46</f>
        <v>0</v>
      </c>
      <c r="F46" s="96"/>
      <c r="G46" s="96"/>
      <c r="H46" s="37">
        <f>B46-G46-F46</f>
        <v>4.4400000000000004</v>
      </c>
      <c r="I46" s="12">
        <v>3</v>
      </c>
      <c r="J46" s="13">
        <v>6580</v>
      </c>
      <c r="K46" s="32">
        <f>ROUND($F$42+$F$43+$F$44+$F$45-$F$15+$F$46,2)</f>
        <v>179.5</v>
      </c>
      <c r="M46" s="39" t="s">
        <v>21</v>
      </c>
      <c r="O46" s="1"/>
      <c r="P46" s="5">
        <v>3</v>
      </c>
      <c r="Q46" s="13">
        <v>6580</v>
      </c>
      <c r="R46" s="33">
        <f>+K46*$R$6</f>
        <v>125.64999999999999</v>
      </c>
      <c r="S46" s="32"/>
    </row>
    <row r="47" spans="1:22" ht="18.75" thickBot="1" x14ac:dyDescent="0.3">
      <c r="B47" s="97">
        <f>SUM(B42:B46)</f>
        <v>4010.7099999999996</v>
      </c>
      <c r="C47" s="27">
        <f>B48-F47-G47-H47</f>
        <v>0</v>
      </c>
      <c r="D47" s="7"/>
      <c r="E47" s="1"/>
      <c r="F47" s="97">
        <f>SUM(F37:F46)</f>
        <v>180.7</v>
      </c>
      <c r="G47" s="97">
        <f>SUM(G37:G46)</f>
        <v>1406.6299999999997</v>
      </c>
      <c r="H47" s="71">
        <f>SUM(H37:H46)</f>
        <v>12887.75</v>
      </c>
      <c r="I47" s="12">
        <v>3</v>
      </c>
      <c r="J47" s="13">
        <v>6610</v>
      </c>
      <c r="K47" s="92">
        <f>ROUND(F66,2)</f>
        <v>0</v>
      </c>
      <c r="M47" s="5" t="s">
        <v>38</v>
      </c>
      <c r="O47" s="1"/>
      <c r="P47" s="5">
        <v>3</v>
      </c>
      <c r="Q47" s="13">
        <v>6610</v>
      </c>
      <c r="R47" s="33"/>
    </row>
    <row r="48" spans="1:22" ht="19.5" thickTop="1" thickBot="1" x14ac:dyDescent="0.3">
      <c r="A48" s="34" t="s">
        <v>60</v>
      </c>
      <c r="B48" s="98">
        <f>SUM(B37:B46)</f>
        <v>14475.08</v>
      </c>
      <c r="C48" s="99"/>
      <c r="D48" s="100"/>
      <c r="E48" s="101"/>
      <c r="F48" s="102"/>
      <c r="G48" s="103"/>
      <c r="H48" s="104"/>
      <c r="I48" s="12">
        <v>3</v>
      </c>
      <c r="J48" s="13">
        <v>6300</v>
      </c>
      <c r="K48" s="92">
        <f>ROUND(F70,2)</f>
        <v>49.96</v>
      </c>
      <c r="M48" s="5" t="s">
        <v>40</v>
      </c>
      <c r="O48" s="1"/>
      <c r="P48" s="5">
        <v>3</v>
      </c>
      <c r="Q48" s="13">
        <v>6300</v>
      </c>
      <c r="R48" s="33">
        <f>+K48*$R$6</f>
        <v>34.972000000000001</v>
      </c>
      <c r="S48" s="32"/>
    </row>
    <row r="49" spans="1:23" ht="18.75" thickTop="1" x14ac:dyDescent="0.25">
      <c r="F49" s="6"/>
      <c r="G49" s="32"/>
      <c r="H49" s="32"/>
      <c r="I49" s="45" t="s">
        <v>62</v>
      </c>
      <c r="J49" s="46" t="s">
        <v>63</v>
      </c>
      <c r="K49" s="105">
        <f>F10+F31-K90</f>
        <v>0</v>
      </c>
      <c r="L49" s="48"/>
      <c r="M49" s="48" t="s">
        <v>32</v>
      </c>
      <c r="N49" s="48"/>
      <c r="O49" s="48"/>
      <c r="P49" s="5">
        <v>3</v>
      </c>
      <c r="Q49" s="46" t="s">
        <v>63</v>
      </c>
      <c r="R49" s="50"/>
    </row>
    <row r="50" spans="1:23" ht="18.75" thickBot="1" x14ac:dyDescent="0.3">
      <c r="A50" s="1" t="s">
        <v>77</v>
      </c>
      <c r="F50" s="6"/>
      <c r="G50" s="32"/>
      <c r="H50" s="32"/>
      <c r="I50" s="52">
        <v>3</v>
      </c>
      <c r="J50" s="10">
        <v>2120</v>
      </c>
      <c r="K50" s="21">
        <f>-F16</f>
        <v>-3.77</v>
      </c>
      <c r="L50" s="1"/>
      <c r="M50" s="1" t="s">
        <v>34</v>
      </c>
      <c r="O50" s="1"/>
      <c r="P50" s="5">
        <v>3</v>
      </c>
      <c r="Q50" s="10">
        <v>2120</v>
      </c>
      <c r="R50" s="33">
        <f>+K50*$R$6</f>
        <v>-2.6389999999999998</v>
      </c>
      <c r="S50" s="32"/>
    </row>
    <row r="51" spans="1:23" x14ac:dyDescent="0.25">
      <c r="A51" s="25" t="s">
        <v>78</v>
      </c>
      <c r="B51" s="80">
        <f>B23</f>
        <v>1990.3</v>
      </c>
      <c r="C51" s="106"/>
      <c r="D51" s="28">
        <v>6570</v>
      </c>
      <c r="E51" s="29"/>
      <c r="F51" s="81">
        <f>F23</f>
        <v>172.48</v>
      </c>
      <c r="G51" s="107">
        <f>G23</f>
        <v>688.72</v>
      </c>
      <c r="H51" s="31">
        <f>B51-G51-F51</f>
        <v>1129.0999999999999</v>
      </c>
      <c r="I51" s="12">
        <v>3</v>
      </c>
      <c r="J51" s="13">
        <v>1830</v>
      </c>
      <c r="K51" s="56">
        <f>-ROUND(F28,2)</f>
        <v>-10.75</v>
      </c>
      <c r="M51" s="39" t="s">
        <v>79</v>
      </c>
      <c r="O51" s="1"/>
      <c r="P51" s="5">
        <v>3</v>
      </c>
      <c r="Q51" s="13">
        <v>1830</v>
      </c>
      <c r="R51" s="33"/>
    </row>
    <row r="52" spans="1:23" x14ac:dyDescent="0.25">
      <c r="A52" s="34" t="s">
        <v>45</v>
      </c>
      <c r="B52" s="83">
        <f>B22</f>
        <v>0</v>
      </c>
      <c r="C52" s="27"/>
      <c r="F52" s="6">
        <f>F22</f>
        <v>0</v>
      </c>
      <c r="G52" s="88">
        <f>G22</f>
        <v>0</v>
      </c>
      <c r="H52" s="37">
        <f>B52-F52-G52</f>
        <v>0</v>
      </c>
      <c r="I52" s="12">
        <v>3</v>
      </c>
      <c r="J52" s="13">
        <v>6570</v>
      </c>
      <c r="K52" s="32">
        <f>-$F$23+$F$51+$F$58</f>
        <v>73.430000000000007</v>
      </c>
      <c r="M52" s="5" t="s">
        <v>25</v>
      </c>
      <c r="O52" s="1"/>
      <c r="P52" s="5">
        <v>3</v>
      </c>
      <c r="Q52" s="13">
        <v>6570</v>
      </c>
      <c r="R52" s="33">
        <f>+K52</f>
        <v>73.430000000000007</v>
      </c>
      <c r="S52" s="32"/>
    </row>
    <row r="53" spans="1:23" x14ac:dyDescent="0.25">
      <c r="A53" s="34" t="s">
        <v>60</v>
      </c>
      <c r="B53" s="108">
        <f>SUM(B51:B52)</f>
        <v>1990.3</v>
      </c>
      <c r="C53" s="27"/>
      <c r="F53" s="6"/>
      <c r="G53" s="88"/>
      <c r="H53" s="37"/>
      <c r="I53" s="12">
        <v>3</v>
      </c>
      <c r="J53" s="13">
        <v>6571</v>
      </c>
      <c r="K53" s="92">
        <f>F55</f>
        <v>98.56</v>
      </c>
      <c r="M53" s="5" t="s">
        <v>27</v>
      </c>
      <c r="O53" s="1"/>
      <c r="P53" s="5">
        <v>3</v>
      </c>
      <c r="Q53" s="13">
        <v>6571</v>
      </c>
      <c r="R53" s="33">
        <f>+K53</f>
        <v>98.56</v>
      </c>
      <c r="S53" s="32"/>
    </row>
    <row r="54" spans="1:23" x14ac:dyDescent="0.25">
      <c r="A54" s="34"/>
      <c r="B54" s="109"/>
      <c r="C54" s="27"/>
      <c r="F54" s="6"/>
      <c r="G54" s="88"/>
      <c r="H54" s="37"/>
      <c r="I54" s="12">
        <v>3</v>
      </c>
      <c r="J54" s="13">
        <v>6571</v>
      </c>
      <c r="K54" s="92">
        <f>+F56</f>
        <v>0</v>
      </c>
      <c r="M54" s="5" t="s">
        <v>61</v>
      </c>
      <c r="O54" s="1"/>
      <c r="P54" s="5">
        <v>3</v>
      </c>
      <c r="Q54" s="13">
        <v>6571</v>
      </c>
      <c r="R54" s="33"/>
    </row>
    <row r="55" spans="1:23" x14ac:dyDescent="0.25">
      <c r="A55" s="34" t="s">
        <v>80</v>
      </c>
      <c r="B55" s="170">
        <v>1243.8699999999999</v>
      </c>
      <c r="C55" s="111"/>
      <c r="D55" s="4">
        <v>6571</v>
      </c>
      <c r="F55" s="90">
        <v>98.56</v>
      </c>
      <c r="G55" s="90">
        <v>438.76</v>
      </c>
      <c r="H55" s="37">
        <f>B55-F55-G55</f>
        <v>706.55</v>
      </c>
      <c r="I55" s="12">
        <v>3</v>
      </c>
      <c r="J55" s="13">
        <v>6550</v>
      </c>
      <c r="K55" s="92">
        <f>-F20</f>
        <v>0</v>
      </c>
      <c r="M55" s="5" t="s">
        <v>81</v>
      </c>
      <c r="O55" s="1"/>
      <c r="P55" s="5">
        <v>3</v>
      </c>
      <c r="Q55" s="13">
        <v>6550</v>
      </c>
      <c r="R55" s="33"/>
    </row>
    <row r="56" spans="1:23" ht="18.75" thickBot="1" x14ac:dyDescent="0.3">
      <c r="A56" s="34" t="s">
        <v>61</v>
      </c>
      <c r="B56" s="171">
        <v>114.05</v>
      </c>
      <c r="C56" s="111"/>
      <c r="D56" s="4">
        <v>6571</v>
      </c>
      <c r="F56" s="93"/>
      <c r="G56" s="93"/>
      <c r="H56" s="37">
        <f>B56-F56-G56</f>
        <v>114.05</v>
      </c>
      <c r="I56" s="12"/>
      <c r="J56" s="13"/>
      <c r="K56" s="86">
        <f>SUM(K43:K55)</f>
        <v>3908.56</v>
      </c>
      <c r="L56" s="1"/>
      <c r="N56" s="1">
        <v>2040</v>
      </c>
      <c r="O56" s="1"/>
      <c r="P56" s="5">
        <v>3</v>
      </c>
      <c r="Q56" s="5">
        <v>2040</v>
      </c>
      <c r="R56" s="86">
        <f>SUM(R43:R55)</f>
        <v>2795.114</v>
      </c>
    </row>
    <row r="57" spans="1:23" ht="18.75" thickTop="1" x14ac:dyDescent="0.25">
      <c r="A57" s="34" t="s">
        <v>82</v>
      </c>
      <c r="B57" s="83">
        <f>+B19</f>
        <v>0</v>
      </c>
      <c r="C57" s="111"/>
      <c r="F57" s="6"/>
      <c r="G57" s="88"/>
      <c r="H57" s="37">
        <f>B57-F57-G57</f>
        <v>0</v>
      </c>
      <c r="I57" s="12"/>
      <c r="J57" s="13"/>
      <c r="K57" s="32"/>
      <c r="M57" s="1" t="s">
        <v>83</v>
      </c>
      <c r="O57" s="1"/>
      <c r="R57" s="33"/>
      <c r="S57" s="33"/>
      <c r="T57" s="33"/>
      <c r="U57" s="33"/>
      <c r="V57" s="33"/>
      <c r="W57" s="33"/>
    </row>
    <row r="58" spans="1:23" ht="18.75" thickBot="1" x14ac:dyDescent="0.3">
      <c r="A58" s="34" t="s">
        <v>25</v>
      </c>
      <c r="B58" s="110">
        <v>734.34</v>
      </c>
      <c r="C58" s="111"/>
      <c r="D58" s="4">
        <v>6570</v>
      </c>
      <c r="F58" s="88">
        <f>ROUND(B58*10%,2)</f>
        <v>73.430000000000007</v>
      </c>
      <c r="G58" s="88">
        <f>ROUND(B58*30%,2)</f>
        <v>220.3</v>
      </c>
      <c r="H58" s="37">
        <f>ROUND(B58-F58-G58,2)</f>
        <v>440.61</v>
      </c>
      <c r="I58" s="52">
        <v>1</v>
      </c>
      <c r="J58" s="10">
        <v>1012</v>
      </c>
      <c r="K58" s="113">
        <f>-(K23+K40+K56+K74+K84+K90)-K59</f>
        <v>-59655.79</v>
      </c>
      <c r="M58" s="1"/>
      <c r="N58" s="32">
        <f>+'[13]1012-CNB Checking'!$F$103</f>
        <v>59655.79</v>
      </c>
      <c r="O58" s="114">
        <f>+K58+N58+K59</f>
        <v>0</v>
      </c>
      <c r="P58" s="32"/>
      <c r="R58" s="33"/>
    </row>
    <row r="59" spans="1:23" ht="18.75" thickTop="1" x14ac:dyDescent="0.25">
      <c r="A59" s="34" t="s">
        <v>48</v>
      </c>
      <c r="B59" s="83">
        <f>B24</f>
        <v>342.23</v>
      </c>
      <c r="C59" s="27"/>
      <c r="F59" s="88">
        <f>F24</f>
        <v>0</v>
      </c>
      <c r="G59" s="88">
        <f>G24</f>
        <v>0</v>
      </c>
      <c r="H59" s="37">
        <f>B59-F59-G59</f>
        <v>342.23</v>
      </c>
      <c r="I59" s="52">
        <v>1</v>
      </c>
      <c r="J59" s="10">
        <v>1012</v>
      </c>
      <c r="K59" s="21"/>
      <c r="L59" s="21">
        <f>C74+L58</f>
        <v>0</v>
      </c>
      <c r="M59" s="21">
        <f>D74+M58</f>
        <v>0</v>
      </c>
      <c r="N59" s="21"/>
      <c r="O59" s="21"/>
      <c r="R59" s="33"/>
    </row>
    <row r="60" spans="1:23" x14ac:dyDescent="0.25">
      <c r="A60" s="34" t="s">
        <v>84</v>
      </c>
      <c r="B60" s="83">
        <f>B25</f>
        <v>132.66999999999999</v>
      </c>
      <c r="C60" s="27"/>
      <c r="F60" s="88">
        <f>F25</f>
        <v>101.92</v>
      </c>
      <c r="G60" s="88">
        <f>G25</f>
        <v>0</v>
      </c>
      <c r="H60" s="37">
        <f>B60-F60-G60</f>
        <v>30.749999999999986</v>
      </c>
      <c r="I60" s="115" t="s">
        <v>85</v>
      </c>
      <c r="K60" s="32"/>
      <c r="O60" s="1"/>
      <c r="R60" s="162"/>
    </row>
    <row r="61" spans="1:23" ht="18.75" thickBot="1" x14ac:dyDescent="0.3">
      <c r="A61" s="34" t="s">
        <v>60</v>
      </c>
      <c r="B61" s="116">
        <f>B53+B59+B60+B55+B58+B57</f>
        <v>4443.41</v>
      </c>
      <c r="C61" s="117"/>
      <c r="D61" s="7"/>
      <c r="E61" s="1"/>
      <c r="F61" s="71">
        <f>F51+F55</f>
        <v>271.03999999999996</v>
      </c>
      <c r="G61" s="71">
        <f>G51+G55</f>
        <v>1127.48</v>
      </c>
      <c r="H61" s="118">
        <f>B61-G61</f>
        <v>3315.93</v>
      </c>
      <c r="I61" s="115">
        <v>1</v>
      </c>
      <c r="J61" s="119">
        <v>1831</v>
      </c>
      <c r="K61" s="120">
        <f>850-K76</f>
        <v>850</v>
      </c>
      <c r="M61" s="5" t="s">
        <v>42</v>
      </c>
      <c r="O61" s="121"/>
      <c r="P61" s="115"/>
      <c r="Q61" s="119"/>
      <c r="R61" s="163"/>
      <c r="S61" s="32"/>
    </row>
    <row r="62" spans="1:23" ht="19.5" thickTop="1" thickBot="1" x14ac:dyDescent="0.3">
      <c r="A62" s="73"/>
      <c r="B62" s="74"/>
      <c r="C62" s="74"/>
      <c r="D62" s="75"/>
      <c r="E62" s="76"/>
      <c r="F62" s="78"/>
      <c r="G62" s="78"/>
      <c r="H62" s="79"/>
      <c r="I62" s="115">
        <v>1</v>
      </c>
      <c r="J62" s="5">
        <v>6565</v>
      </c>
      <c r="K62" s="120">
        <f>1015.73-846.73</f>
        <v>169</v>
      </c>
      <c r="M62" s="5" t="s">
        <v>132</v>
      </c>
      <c r="O62" s="1"/>
      <c r="P62" s="115"/>
      <c r="R62" s="163"/>
      <c r="S62" s="32"/>
    </row>
    <row r="63" spans="1:23" x14ac:dyDescent="0.25">
      <c r="F63" s="6"/>
      <c r="I63" s="85">
        <v>1</v>
      </c>
      <c r="J63" s="5">
        <v>1831</v>
      </c>
      <c r="K63" s="120"/>
      <c r="O63" s="1"/>
      <c r="P63" s="85"/>
      <c r="R63" s="163"/>
      <c r="S63" s="32"/>
    </row>
    <row r="64" spans="1:23" ht="18.75" thickBot="1" x14ac:dyDescent="0.3">
      <c r="A64" s="1" t="s">
        <v>88</v>
      </c>
      <c r="D64" s="122">
        <f>F64+G64+H64</f>
        <v>1</v>
      </c>
      <c r="F64" s="123">
        <v>0.1</v>
      </c>
      <c r="G64" s="123">
        <v>0.3</v>
      </c>
      <c r="H64" s="123">
        <v>0.6</v>
      </c>
      <c r="I64" s="85">
        <v>1</v>
      </c>
      <c r="J64" s="5">
        <v>6630</v>
      </c>
      <c r="K64" s="120"/>
      <c r="M64" s="5" t="s">
        <v>89</v>
      </c>
      <c r="O64" s="1"/>
      <c r="P64" s="85"/>
      <c r="R64" s="163"/>
      <c r="S64" s="32"/>
    </row>
    <row r="65" spans="1:20" x14ac:dyDescent="0.25">
      <c r="A65" s="25" t="s">
        <v>38</v>
      </c>
      <c r="B65" s="26"/>
      <c r="C65" s="106"/>
      <c r="D65" s="28">
        <v>6610</v>
      </c>
      <c r="E65" s="29"/>
      <c r="F65" s="107">
        <f>B65*F64</f>
        <v>0</v>
      </c>
      <c r="G65" s="107">
        <f>B65*G64</f>
        <v>0</v>
      </c>
      <c r="H65" s="31">
        <f>B65-G65-F65-0</f>
        <v>0</v>
      </c>
      <c r="I65" s="85">
        <v>1</v>
      </c>
      <c r="J65" s="5">
        <v>6630</v>
      </c>
      <c r="K65" s="120"/>
      <c r="M65" s="5" t="s">
        <v>90</v>
      </c>
      <c r="O65" s="1"/>
      <c r="P65" s="85"/>
      <c r="R65" s="163"/>
      <c r="S65" s="32"/>
    </row>
    <row r="66" spans="1:20" ht="18.75" thickBot="1" x14ac:dyDescent="0.3">
      <c r="A66" s="34" t="s">
        <v>60</v>
      </c>
      <c r="B66" s="116">
        <f>B65</f>
        <v>0</v>
      </c>
      <c r="C66" s="117"/>
      <c r="D66" s="7"/>
      <c r="E66" s="1"/>
      <c r="F66" s="71">
        <f>F65</f>
        <v>0</v>
      </c>
      <c r="G66" s="71">
        <f>G65</f>
        <v>0</v>
      </c>
      <c r="H66" s="118">
        <f>B66-G66-F66-0</f>
        <v>0</v>
      </c>
      <c r="I66" s="85">
        <v>1</v>
      </c>
      <c r="J66" s="5">
        <v>6551</v>
      </c>
      <c r="K66" s="120">
        <f>757.29-K79</f>
        <v>339.48999999999995</v>
      </c>
      <c r="M66" s="5" t="s">
        <v>133</v>
      </c>
      <c r="O66" s="1"/>
      <c r="P66" s="85"/>
      <c r="R66" s="163"/>
      <c r="S66" s="32"/>
    </row>
    <row r="67" spans="1:20" ht="19.5" thickTop="1" thickBot="1" x14ac:dyDescent="0.3">
      <c r="A67" s="73"/>
      <c r="B67" s="74"/>
      <c r="C67" s="74"/>
      <c r="D67" s="75"/>
      <c r="E67" s="76"/>
      <c r="F67" s="78"/>
      <c r="G67" s="78"/>
      <c r="H67" s="79"/>
      <c r="I67" s="85">
        <v>1</v>
      </c>
      <c r="J67" s="5">
        <v>6012</v>
      </c>
      <c r="K67" s="120"/>
      <c r="M67" s="5" t="s">
        <v>92</v>
      </c>
      <c r="O67" s="1"/>
      <c r="P67" s="85"/>
      <c r="R67" s="163"/>
      <c r="S67" s="32"/>
    </row>
    <row r="68" spans="1:20" x14ac:dyDescent="0.25">
      <c r="F68" s="6"/>
      <c r="I68" s="85"/>
      <c r="K68" s="120"/>
      <c r="O68" s="1"/>
      <c r="R68" s="162"/>
    </row>
    <row r="69" spans="1:20" ht="18.75" thickBot="1" x14ac:dyDescent="0.3">
      <c r="A69" s="101" t="s">
        <v>93</v>
      </c>
      <c r="B69" s="101"/>
      <c r="D69" s="124"/>
      <c r="F69" s="123">
        <f>F64</f>
        <v>0.1</v>
      </c>
      <c r="G69" s="123">
        <f>G64</f>
        <v>0.3</v>
      </c>
      <c r="H69" s="123">
        <f>H64</f>
        <v>0.6</v>
      </c>
      <c r="K69" s="120"/>
      <c r="O69" s="1"/>
      <c r="R69" s="162"/>
    </row>
    <row r="70" spans="1:20" x14ac:dyDescent="0.25">
      <c r="A70" s="25" t="s">
        <v>94</v>
      </c>
      <c r="B70" s="26">
        <f>497.85+1.77</f>
        <v>499.62</v>
      </c>
      <c r="C70" s="106"/>
      <c r="D70" s="28">
        <v>6300</v>
      </c>
      <c r="E70" s="29"/>
      <c r="F70" s="81">
        <f>B70*F69</f>
        <v>49.962000000000003</v>
      </c>
      <c r="G70" s="107">
        <f>B70*G69</f>
        <v>149.886</v>
      </c>
      <c r="H70" s="31">
        <f>B70*H69-0</f>
        <v>299.77199999999999</v>
      </c>
      <c r="I70" s="85"/>
      <c r="K70" s="120"/>
      <c r="O70" s="1"/>
      <c r="R70" s="162"/>
      <c r="T70" s="32"/>
    </row>
    <row r="71" spans="1:20" ht="21" thickBot="1" x14ac:dyDescent="0.35">
      <c r="A71" s="34" t="s">
        <v>60</v>
      </c>
      <c r="B71" s="116">
        <v>0</v>
      </c>
      <c r="C71" s="117"/>
      <c r="D71" s="7"/>
      <c r="E71" s="1"/>
      <c r="F71" s="71">
        <f>F70</f>
        <v>49.962000000000003</v>
      </c>
      <c r="G71" s="71">
        <f>G70</f>
        <v>149.886</v>
      </c>
      <c r="H71" s="118">
        <f>H70</f>
        <v>299.77199999999999</v>
      </c>
      <c r="I71" s="85"/>
      <c r="J71" s="85"/>
      <c r="K71" s="120"/>
      <c r="M71" s="125"/>
      <c r="O71" s="1"/>
      <c r="R71" s="162"/>
    </row>
    <row r="72" spans="1:20" ht="19.5" thickTop="1" thickBot="1" x14ac:dyDescent="0.3">
      <c r="A72" s="73"/>
      <c r="B72" s="74"/>
      <c r="C72" s="74"/>
      <c r="D72" s="75"/>
      <c r="E72" s="76"/>
      <c r="F72" s="77" t="s">
        <v>95</v>
      </c>
      <c r="G72" s="78"/>
      <c r="H72" s="79"/>
      <c r="I72" s="85"/>
      <c r="K72" s="126"/>
      <c r="O72" s="1"/>
      <c r="R72" s="162"/>
    </row>
    <row r="73" spans="1:20" ht="18.75" thickBot="1" x14ac:dyDescent="0.3">
      <c r="F73" s="6"/>
      <c r="I73" s="85"/>
      <c r="K73" s="127"/>
      <c r="O73" s="1"/>
      <c r="R73" s="162"/>
    </row>
    <row r="74" spans="1:20" ht="18.75" thickBot="1" x14ac:dyDescent="0.3">
      <c r="A74" s="1" t="s">
        <v>96</v>
      </c>
      <c r="B74" s="128">
        <f>ROUND((B71+B66+B61+B48+B32),2)</f>
        <v>59156.17</v>
      </c>
      <c r="F74" s="6"/>
      <c r="I74" s="85" t="s">
        <v>97</v>
      </c>
      <c r="K74" s="129">
        <f>SUM(K61:K73)</f>
        <v>1358.49</v>
      </c>
      <c r="O74" s="1"/>
      <c r="R74" s="162"/>
    </row>
    <row r="75" spans="1:20" ht="18.75" thickBot="1" x14ac:dyDescent="0.3">
      <c r="F75" s="6"/>
      <c r="I75" s="85">
        <v>2</v>
      </c>
      <c r="J75" s="167">
        <v>6565</v>
      </c>
      <c r="K75" s="120">
        <v>846.73</v>
      </c>
      <c r="M75" s="5" t="s">
        <v>132</v>
      </c>
      <c r="O75" s="1"/>
      <c r="P75" s="85"/>
      <c r="Q75" s="119"/>
      <c r="R75" s="163"/>
      <c r="S75" s="32"/>
    </row>
    <row r="76" spans="1:20" x14ac:dyDescent="0.25">
      <c r="A76" s="129" t="s">
        <v>99</v>
      </c>
      <c r="B76" s="26">
        <v>40123.629999999997</v>
      </c>
      <c r="C76" s="130"/>
      <c r="D76" s="131" t="s">
        <v>100</v>
      </c>
      <c r="E76" s="6"/>
      <c r="F76" s="6"/>
      <c r="G76" s="132">
        <v>40123.629999999997</v>
      </c>
      <c r="H76" s="6"/>
      <c r="I76" s="85">
        <v>2</v>
      </c>
      <c r="J76" s="119">
        <v>1831</v>
      </c>
      <c r="K76" s="120"/>
      <c r="M76" s="5" t="s">
        <v>42</v>
      </c>
      <c r="O76" s="1"/>
      <c r="P76" s="85"/>
      <c r="Q76" s="119"/>
      <c r="R76" s="163"/>
      <c r="S76" s="32"/>
    </row>
    <row r="77" spans="1:20" x14ac:dyDescent="0.25">
      <c r="A77" s="129" t="s">
        <v>101</v>
      </c>
      <c r="B77" s="130"/>
      <c r="C77" s="130"/>
      <c r="D77" s="131" t="s">
        <v>102</v>
      </c>
      <c r="E77" s="6"/>
      <c r="F77" s="6"/>
      <c r="G77" s="6">
        <f>+B77</f>
        <v>0</v>
      </c>
      <c r="H77" s="6"/>
      <c r="I77" s="85">
        <v>2</v>
      </c>
      <c r="J77" s="5">
        <v>6630</v>
      </c>
      <c r="K77" s="120"/>
      <c r="M77" s="5" t="s">
        <v>89</v>
      </c>
      <c r="O77" s="1"/>
      <c r="P77" s="85"/>
      <c r="R77" s="163"/>
      <c r="S77" s="32"/>
    </row>
    <row r="78" spans="1:20" ht="18.75" thickBot="1" x14ac:dyDescent="0.3">
      <c r="A78" s="129" t="s">
        <v>103</v>
      </c>
      <c r="B78" s="133"/>
      <c r="C78" s="130"/>
      <c r="D78" s="131"/>
      <c r="E78" s="6"/>
      <c r="F78" s="6"/>
      <c r="G78" s="77"/>
      <c r="H78" s="6"/>
      <c r="I78" s="85">
        <v>2</v>
      </c>
      <c r="J78" s="5">
        <v>6630</v>
      </c>
      <c r="K78" s="120">
        <v>11.54</v>
      </c>
      <c r="M78" s="5" t="s">
        <v>90</v>
      </c>
      <c r="O78" s="1"/>
      <c r="P78" s="85"/>
      <c r="R78" s="163"/>
      <c r="S78" s="32"/>
    </row>
    <row r="79" spans="1:20" ht="18.75" thickBot="1" x14ac:dyDescent="0.3">
      <c r="A79" s="134" t="s">
        <v>104</v>
      </c>
      <c r="B79" s="135">
        <f>ROUND(SUM(B76:B78),2)</f>
        <v>40123.629999999997</v>
      </c>
      <c r="C79" s="130"/>
      <c r="D79" s="131"/>
      <c r="E79" s="6"/>
      <c r="F79" s="6"/>
      <c r="G79" s="129">
        <f>SUM(G76:G78)</f>
        <v>40123.629999999997</v>
      </c>
      <c r="H79" s="6" t="s">
        <v>105</v>
      </c>
      <c r="I79" s="85">
        <v>2</v>
      </c>
      <c r="J79" s="5">
        <v>6551</v>
      </c>
      <c r="K79" s="120">
        <v>417.8</v>
      </c>
      <c r="M79" s="5" t="s">
        <v>91</v>
      </c>
      <c r="O79" s="1"/>
      <c r="P79" s="85"/>
      <c r="R79" s="163"/>
      <c r="S79" s="32"/>
    </row>
    <row r="80" spans="1:20" ht="18.75" thickBot="1" x14ac:dyDescent="0.3">
      <c r="A80" s="1" t="s">
        <v>106</v>
      </c>
      <c r="B80" s="26">
        <v>59156.17</v>
      </c>
      <c r="H80" s="128" t="str">
        <f>IF(B79-G79=0,"ok","NO")</f>
        <v>ok</v>
      </c>
      <c r="I80" s="85">
        <v>2</v>
      </c>
      <c r="J80" s="5">
        <v>6040</v>
      </c>
      <c r="K80" s="120"/>
      <c r="M80" s="5" t="s">
        <v>131</v>
      </c>
      <c r="O80" s="1"/>
      <c r="P80" s="85"/>
      <c r="R80" s="163"/>
      <c r="S80" s="32"/>
    </row>
    <row r="81" spans="1:19" ht="18.75" thickBot="1" x14ac:dyDescent="0.3">
      <c r="A81" s="1" t="s">
        <v>94</v>
      </c>
      <c r="B81" s="3">
        <f>B66+B71</f>
        <v>0</v>
      </c>
      <c r="C81" s="1" t="s">
        <v>108</v>
      </c>
      <c r="G81" s="32">
        <f>+G79-B76</f>
        <v>0</v>
      </c>
      <c r="I81" s="85"/>
      <c r="J81" s="119" t="s">
        <v>95</v>
      </c>
      <c r="K81" s="127"/>
      <c r="O81" s="1"/>
      <c r="Q81" s="119"/>
      <c r="R81" s="163"/>
      <c r="S81" s="32"/>
    </row>
    <row r="82" spans="1:19" ht="18.75" thickBot="1" x14ac:dyDescent="0.3">
      <c r="B82" s="3">
        <f>+B80+B81</f>
        <v>59156.17</v>
      </c>
      <c r="C82" s="128" t="str">
        <f>IF(B74=B82,"ok","NO")</f>
        <v>ok</v>
      </c>
      <c r="F82" s="136"/>
      <c r="I82" s="85"/>
      <c r="J82" s="119"/>
      <c r="K82" s="127"/>
      <c r="O82" s="1"/>
      <c r="R82" s="162"/>
    </row>
    <row r="83" spans="1:19" ht="18.75" thickBot="1" x14ac:dyDescent="0.3">
      <c r="A83" s="5"/>
      <c r="B83" s="137">
        <f>+B82-B74-B77</f>
        <v>0</v>
      </c>
      <c r="I83" s="85"/>
      <c r="J83" s="119"/>
      <c r="K83" s="127"/>
      <c r="O83" s="1"/>
      <c r="R83" s="164"/>
    </row>
    <row r="84" spans="1:19" x14ac:dyDescent="0.25">
      <c r="G84" s="32"/>
      <c r="I84" s="85"/>
      <c r="K84" s="129">
        <f>SUM(K75:K83)</f>
        <v>1276.07</v>
      </c>
      <c r="O84" s="1"/>
      <c r="R84" s="164"/>
      <c r="S84" s="32"/>
    </row>
    <row r="85" spans="1:19" s="33" customFormat="1" x14ac:dyDescent="0.25">
      <c r="A85" s="5"/>
      <c r="B85" s="32"/>
      <c r="C85" s="5"/>
      <c r="D85" s="5"/>
      <c r="E85" s="5"/>
      <c r="F85" s="5"/>
      <c r="G85" s="5"/>
      <c r="H85" s="5"/>
      <c r="I85" s="85" t="s">
        <v>110</v>
      </c>
      <c r="J85" s="5"/>
      <c r="K85" s="6"/>
      <c r="L85" s="5"/>
      <c r="M85" s="5"/>
      <c r="N85" s="5"/>
      <c r="O85" s="1"/>
      <c r="P85" s="5"/>
      <c r="Q85" s="5"/>
      <c r="R85" s="164"/>
      <c r="S85" s="32"/>
    </row>
    <row r="86" spans="1:19" s="33" customFormat="1" x14ac:dyDescent="0.25">
      <c r="A86" s="5"/>
      <c r="B86" s="32"/>
      <c r="C86" s="5"/>
      <c r="D86" s="5"/>
      <c r="E86" s="5"/>
      <c r="F86" s="5"/>
      <c r="G86" s="5"/>
      <c r="H86" s="5"/>
      <c r="I86" s="85">
        <v>3</v>
      </c>
      <c r="J86" s="5">
        <v>6551</v>
      </c>
      <c r="K86" s="138"/>
      <c r="L86" s="5"/>
      <c r="M86" s="5" t="s">
        <v>111</v>
      </c>
      <c r="N86" s="5"/>
      <c r="O86" s="1"/>
      <c r="P86" s="5"/>
      <c r="Q86" s="5"/>
      <c r="R86" s="164"/>
      <c r="S86" s="32"/>
    </row>
    <row r="87" spans="1:19" s="33" customFormat="1" x14ac:dyDescent="0.25">
      <c r="A87" s="5"/>
      <c r="B87" s="32"/>
      <c r="C87" s="5"/>
      <c r="D87" s="5"/>
      <c r="E87" s="5"/>
      <c r="F87" s="5"/>
      <c r="G87" s="5"/>
      <c r="H87" s="139"/>
      <c r="I87" s="85">
        <v>3</v>
      </c>
      <c r="J87" s="5">
        <v>6630</v>
      </c>
      <c r="K87" s="120"/>
      <c r="L87" s="5"/>
      <c r="M87" s="5" t="s">
        <v>89</v>
      </c>
      <c r="N87" s="5"/>
      <c r="O87" s="1"/>
      <c r="R87" s="162"/>
    </row>
    <row r="88" spans="1:19" s="33" customFormat="1" x14ac:dyDescent="0.25">
      <c r="A88" s="5"/>
      <c r="B88" s="5"/>
      <c r="C88" s="5"/>
      <c r="D88" s="5"/>
      <c r="E88" s="5"/>
      <c r="F88" s="5"/>
      <c r="G88" s="5"/>
      <c r="H88" s="5"/>
      <c r="I88" s="85">
        <v>3</v>
      </c>
      <c r="J88" s="5">
        <v>6565</v>
      </c>
      <c r="K88" s="120"/>
      <c r="L88" s="5"/>
      <c r="M88" s="5" t="s">
        <v>132</v>
      </c>
      <c r="N88" s="5"/>
      <c r="O88" s="1"/>
      <c r="R88" s="162"/>
    </row>
    <row r="89" spans="1:19" s="33" customFormat="1" x14ac:dyDescent="0.25">
      <c r="A89" s="5"/>
      <c r="B89" s="5"/>
      <c r="C89" s="5"/>
      <c r="D89" s="5"/>
      <c r="E89" s="5"/>
      <c r="F89" s="5"/>
      <c r="G89" s="5"/>
      <c r="H89" s="5"/>
      <c r="I89" s="85">
        <v>3</v>
      </c>
      <c r="J89" s="5">
        <v>6565</v>
      </c>
      <c r="K89" s="127"/>
      <c r="L89" s="5"/>
      <c r="M89" s="5" t="s">
        <v>113</v>
      </c>
      <c r="N89" s="5"/>
      <c r="O89" s="1"/>
      <c r="R89" s="162"/>
    </row>
    <row r="90" spans="1:19" x14ac:dyDescent="0.25">
      <c r="A90" s="5"/>
      <c r="B90" s="5"/>
      <c r="C90" s="5"/>
      <c r="D90" s="5"/>
      <c r="I90" s="85"/>
      <c r="K90" s="129">
        <f>SUM(K86:K89)</f>
        <v>0</v>
      </c>
      <c r="O90" s="1"/>
      <c r="P90" s="33"/>
      <c r="Q90" s="33"/>
      <c r="R90" s="33"/>
    </row>
    <row r="91" spans="1:19" x14ac:dyDescent="0.25">
      <c r="A91" s="5"/>
      <c r="B91" s="5"/>
      <c r="C91" s="5"/>
      <c r="D91" s="5"/>
      <c r="I91" s="85"/>
      <c r="K91" s="6"/>
      <c r="O91" s="1"/>
      <c r="P91" s="33"/>
      <c r="Q91" s="33"/>
      <c r="R91" s="33"/>
    </row>
    <row r="92" spans="1:19" x14ac:dyDescent="0.25">
      <c r="A92" s="5">
        <v>3</v>
      </c>
      <c r="B92" s="5"/>
      <c r="C92" s="5"/>
      <c r="D92" s="5"/>
      <c r="I92" s="85"/>
      <c r="K92" s="140">
        <f>+K74+K84+K90</f>
        <v>2634.56</v>
      </c>
      <c r="O92" s="1"/>
      <c r="S92" s="6"/>
    </row>
    <row r="93" spans="1:19" x14ac:dyDescent="0.25">
      <c r="A93" s="5"/>
      <c r="B93" s="5"/>
      <c r="C93" s="5"/>
      <c r="D93" s="5"/>
      <c r="K93" s="32">
        <f>+K92-B10</f>
        <v>0.59999999999990905</v>
      </c>
      <c r="O93" s="1"/>
    </row>
    <row r="94" spans="1:19" x14ac:dyDescent="0.25">
      <c r="A94" s="5"/>
      <c r="B94" s="5"/>
      <c r="C94" s="5"/>
      <c r="D94" s="5"/>
      <c r="J94" s="32"/>
      <c r="K94" s="32"/>
      <c r="O94" s="1"/>
    </row>
    <row r="95" spans="1:19" x14ac:dyDescent="0.25">
      <c r="A95" s="5"/>
      <c r="B95" s="5"/>
      <c r="C95" s="5"/>
      <c r="D95" s="5"/>
      <c r="K95" s="32"/>
      <c r="O95" s="1"/>
    </row>
    <row r="96" spans="1:19" x14ac:dyDescent="0.25">
      <c r="A96" s="5"/>
      <c r="B96" s="5"/>
      <c r="C96" s="5"/>
      <c r="D96" s="5"/>
    </row>
    <row r="97" spans="1:4" x14ac:dyDescent="0.25">
      <c r="A97" s="5"/>
      <c r="B97" s="5"/>
      <c r="C97" s="5"/>
      <c r="D97" s="5"/>
    </row>
    <row r="98" spans="1:4" x14ac:dyDescent="0.25">
      <c r="A98" s="5"/>
      <c r="B98" s="5"/>
      <c r="C98" s="5"/>
      <c r="D98" s="5"/>
    </row>
    <row r="99" spans="1:4" x14ac:dyDescent="0.25">
      <c r="A99" s="5"/>
      <c r="B99" s="5"/>
      <c r="C99" s="5"/>
      <c r="D99" s="5"/>
    </row>
  </sheetData>
  <pageMargins left="0.75" right="0.75" top="1" bottom="1" header="0.5" footer="0.5"/>
  <pageSetup scale="46" fitToHeight="3" orientation="landscape" r:id="rId1"/>
  <rowBreaks count="1" manualBreakCount="1">
    <brk id="82" max="18" man="1"/>
  </rowBreaks>
  <colBreaks count="1" manualBreakCount="1">
    <brk id="8" max="91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42D8-B3DC-4CAB-8BE1-973B3B7DBAC9}">
  <dimension ref="A1:BF29"/>
  <sheetViews>
    <sheetView workbookViewId="0">
      <selection activeCell="C1" sqref="C1:D29"/>
    </sheetView>
  </sheetViews>
  <sheetFormatPr defaultRowHeight="12.75" x14ac:dyDescent="0.2"/>
  <cols>
    <col min="1" max="1" width="11.25" bestFit="1" customWidth="1"/>
    <col min="2" max="2" width="6.5" style="161" bestFit="1" customWidth="1"/>
    <col min="3" max="3" width="11.375" style="141" bestFit="1" customWidth="1"/>
    <col min="4" max="4" width="10.625" style="141" bestFit="1" customWidth="1"/>
    <col min="5" max="5" width="11.375" style="141" bestFit="1" customWidth="1"/>
    <col min="6" max="6" width="10.625" style="141" bestFit="1" customWidth="1"/>
    <col min="7" max="7" width="11.375" style="141" bestFit="1" customWidth="1"/>
    <col min="8" max="8" width="10.625" style="141" bestFit="1" customWidth="1"/>
    <col min="9" max="9" width="11.375" style="141" bestFit="1" customWidth="1"/>
    <col min="10" max="10" width="10.625" style="141" bestFit="1" customWidth="1"/>
    <col min="11" max="11" width="11.375" style="141" bestFit="1" customWidth="1"/>
    <col min="12" max="12" width="10.625" style="141" bestFit="1" customWidth="1"/>
    <col min="13" max="14" width="11.625" style="169" bestFit="1" customWidth="1"/>
    <col min="15" max="15" width="5.25" style="141" bestFit="1" customWidth="1"/>
    <col min="16" max="16" width="10.625" style="141" bestFit="1" customWidth="1"/>
    <col min="17" max="20" width="11.375" style="141" bestFit="1" customWidth="1"/>
    <col min="21" max="21" width="10.625" style="141" bestFit="1" customWidth="1"/>
    <col min="22" max="22" width="12.625" style="165" bestFit="1" customWidth="1"/>
    <col min="23" max="23" width="12.625" style="166" bestFit="1" customWidth="1"/>
    <col min="24" max="24" width="10.625" style="141" bestFit="1" customWidth="1"/>
    <col min="25" max="25" width="11.375" style="141" bestFit="1" customWidth="1"/>
    <col min="26" max="26" width="10.625" style="141" bestFit="1" customWidth="1"/>
    <col min="27" max="28" width="11.375" style="141" bestFit="1" customWidth="1"/>
    <col min="29" max="29" width="10.625" style="141" bestFit="1" customWidth="1"/>
    <col min="30" max="30" width="11.375" style="141" bestFit="1" customWidth="1"/>
    <col min="31" max="31" width="10.625" style="165" bestFit="1" customWidth="1"/>
    <col min="32" max="32" width="12.625" style="166" bestFit="1" customWidth="1"/>
    <col min="33" max="34" width="11.375" style="141" bestFit="1" customWidth="1"/>
    <col min="35" max="35" width="10.625" style="141" bestFit="1" customWidth="1"/>
    <col min="36" max="36" width="9.625" style="141" bestFit="1" customWidth="1"/>
    <col min="37" max="38" width="10.375" style="141" bestFit="1" customWidth="1"/>
    <col min="39" max="40" width="13.75" style="141" bestFit="1" customWidth="1"/>
    <col min="41" max="42" width="11.375" style="141" customWidth="1"/>
    <col min="43" max="44" width="11.375" style="141" bestFit="1" customWidth="1"/>
    <col min="45" max="45" width="10.625" style="141" bestFit="1" customWidth="1"/>
    <col min="46" max="46" width="9.625" style="141" bestFit="1" customWidth="1"/>
    <col min="47" max="48" width="11.375" style="141" bestFit="1" customWidth="1"/>
    <col min="49" max="49" width="10.625" style="141" bestFit="1" customWidth="1"/>
    <col min="50" max="51" width="9.625" style="141" bestFit="1" customWidth="1"/>
    <col min="52" max="53" width="11.375" style="141" bestFit="1" customWidth="1"/>
    <col min="54" max="54" width="10.625" style="141" bestFit="1" customWidth="1"/>
    <col min="55" max="55" width="11.5" style="141" bestFit="1" customWidth="1"/>
    <col min="56" max="56" width="11.375" style="141" bestFit="1" customWidth="1"/>
    <col min="57" max="57" width="10.625" style="141" bestFit="1" customWidth="1"/>
    <col min="58" max="58" width="11.5" style="141" bestFit="1" customWidth="1"/>
    <col min="59" max="59" width="10.625" bestFit="1" customWidth="1"/>
  </cols>
  <sheetData>
    <row r="1" spans="1:4" x14ac:dyDescent="0.2">
      <c r="A1">
        <v>1</v>
      </c>
      <c r="B1" s="161">
        <v>1012</v>
      </c>
      <c r="D1" s="141">
        <v>59655.79</v>
      </c>
    </row>
    <row r="2" spans="1:4" x14ac:dyDescent="0.2">
      <c r="A2">
        <v>2</v>
      </c>
      <c r="B2" s="161">
        <v>1830</v>
      </c>
      <c r="D2" s="141">
        <v>1014.12</v>
      </c>
    </row>
    <row r="3" spans="1:4" x14ac:dyDescent="0.2">
      <c r="A3">
        <v>1</v>
      </c>
      <c r="B3" s="161">
        <v>1830</v>
      </c>
      <c r="D3" s="141">
        <v>948.47</v>
      </c>
    </row>
    <row r="4" spans="1:4" x14ac:dyDescent="0.2">
      <c r="A4">
        <v>1</v>
      </c>
      <c r="B4" s="161">
        <v>2120</v>
      </c>
      <c r="D4" s="141">
        <v>30.189999999999994</v>
      </c>
    </row>
    <row r="5" spans="1:4" x14ac:dyDescent="0.2">
      <c r="A5">
        <v>2</v>
      </c>
      <c r="B5" s="161">
        <v>2120</v>
      </c>
      <c r="D5" s="141">
        <v>11.77</v>
      </c>
    </row>
    <row r="6" spans="1:4" x14ac:dyDescent="0.2">
      <c r="A6">
        <v>3</v>
      </c>
      <c r="B6" s="161">
        <v>1830</v>
      </c>
      <c r="D6" s="141">
        <v>10.75</v>
      </c>
    </row>
    <row r="7" spans="1:4" x14ac:dyDescent="0.2">
      <c r="A7">
        <v>3</v>
      </c>
      <c r="B7" s="161">
        <v>2120</v>
      </c>
      <c r="D7" s="141">
        <v>3.77</v>
      </c>
    </row>
    <row r="8" spans="1:4" x14ac:dyDescent="0.2">
      <c r="A8">
        <v>2</v>
      </c>
      <c r="B8" s="161">
        <v>6630</v>
      </c>
      <c r="C8" s="141">
        <v>11.54</v>
      </c>
    </row>
    <row r="9" spans="1:4" x14ac:dyDescent="0.2">
      <c r="A9">
        <v>3</v>
      </c>
      <c r="B9" s="161">
        <v>6300</v>
      </c>
      <c r="C9" s="141">
        <v>49.96</v>
      </c>
    </row>
    <row r="10" spans="1:4" x14ac:dyDescent="0.2">
      <c r="A10">
        <v>3</v>
      </c>
      <c r="B10" s="161">
        <v>6570</v>
      </c>
      <c r="C10" s="141">
        <v>73.430000000000007</v>
      </c>
    </row>
    <row r="11" spans="1:4" x14ac:dyDescent="0.2">
      <c r="A11">
        <v>3</v>
      </c>
      <c r="B11" s="161">
        <v>6571</v>
      </c>
      <c r="C11" s="141">
        <v>98.56</v>
      </c>
    </row>
    <row r="12" spans="1:4" x14ac:dyDescent="0.2">
      <c r="A12">
        <v>2</v>
      </c>
      <c r="B12" s="161">
        <v>6300</v>
      </c>
      <c r="C12" s="141">
        <v>149.88999999999999</v>
      </c>
    </row>
    <row r="13" spans="1:4" x14ac:dyDescent="0.2">
      <c r="A13">
        <v>1</v>
      </c>
      <c r="B13" s="161">
        <v>6565</v>
      </c>
      <c r="C13" s="141">
        <v>169</v>
      </c>
    </row>
    <row r="14" spans="1:4" x14ac:dyDescent="0.2">
      <c r="A14">
        <v>3</v>
      </c>
      <c r="B14" s="161">
        <v>6580</v>
      </c>
      <c r="C14" s="141">
        <v>179.5</v>
      </c>
    </row>
    <row r="15" spans="1:4" x14ac:dyDescent="0.2">
      <c r="A15">
        <v>2</v>
      </c>
      <c r="B15" s="161">
        <v>6570</v>
      </c>
      <c r="C15" s="141">
        <v>220.3</v>
      </c>
    </row>
    <row r="16" spans="1:4" x14ac:dyDescent="0.2">
      <c r="A16">
        <v>1</v>
      </c>
      <c r="B16" s="161">
        <v>6300</v>
      </c>
      <c r="C16" s="141">
        <v>299.77</v>
      </c>
    </row>
    <row r="17" spans="1:3" x14ac:dyDescent="0.2">
      <c r="A17">
        <v>1</v>
      </c>
      <c r="B17" s="161">
        <v>6551</v>
      </c>
      <c r="C17" s="141">
        <v>339.48999999999995</v>
      </c>
    </row>
    <row r="18" spans="1:3" x14ac:dyDescent="0.2">
      <c r="A18">
        <v>2</v>
      </c>
      <c r="B18" s="161">
        <v>6551</v>
      </c>
      <c r="C18" s="141">
        <v>417.8</v>
      </c>
    </row>
    <row r="19" spans="1:3" x14ac:dyDescent="0.2">
      <c r="A19">
        <v>2</v>
      </c>
      <c r="B19" s="161">
        <v>6571</v>
      </c>
      <c r="C19" s="141">
        <v>438.76</v>
      </c>
    </row>
    <row r="20" spans="1:3" x14ac:dyDescent="0.2">
      <c r="A20">
        <v>1</v>
      </c>
      <c r="B20" s="161">
        <v>6570</v>
      </c>
      <c r="C20" s="141">
        <v>440.61</v>
      </c>
    </row>
    <row r="21" spans="1:3" x14ac:dyDescent="0.2">
      <c r="A21">
        <v>1</v>
      </c>
      <c r="B21" s="161">
        <v>6571</v>
      </c>
      <c r="C21" s="141">
        <v>706.55</v>
      </c>
    </row>
    <row r="22" spans="1:3" x14ac:dyDescent="0.2">
      <c r="A22">
        <v>2</v>
      </c>
      <c r="B22" s="161">
        <v>6565</v>
      </c>
      <c r="C22" s="141">
        <v>846.73</v>
      </c>
    </row>
    <row r="23" spans="1:3" x14ac:dyDescent="0.2">
      <c r="A23">
        <v>1</v>
      </c>
      <c r="B23" s="161">
        <v>1831</v>
      </c>
      <c r="C23" s="141">
        <v>850</v>
      </c>
    </row>
    <row r="24" spans="1:3" x14ac:dyDescent="0.2">
      <c r="A24">
        <v>1</v>
      </c>
      <c r="B24" s="161">
        <v>6510</v>
      </c>
      <c r="C24" s="141">
        <v>1040</v>
      </c>
    </row>
    <row r="25" spans="1:3" x14ac:dyDescent="0.2">
      <c r="A25">
        <v>2</v>
      </c>
      <c r="B25" s="161">
        <v>6580</v>
      </c>
      <c r="C25" s="141">
        <v>1398.23</v>
      </c>
    </row>
    <row r="26" spans="1:3" x14ac:dyDescent="0.2">
      <c r="A26">
        <v>1</v>
      </c>
      <c r="B26" s="161">
        <v>6580</v>
      </c>
      <c r="C26" s="141">
        <f>2406.58-0.6</f>
        <v>2405.98</v>
      </c>
    </row>
    <row r="27" spans="1:3" x14ac:dyDescent="0.2">
      <c r="A27">
        <v>3</v>
      </c>
      <c r="B27" s="161">
        <v>6500</v>
      </c>
      <c r="C27" s="141">
        <v>3521.63</v>
      </c>
    </row>
    <row r="28" spans="1:3" x14ac:dyDescent="0.2">
      <c r="A28">
        <v>2</v>
      </c>
      <c r="B28" s="161">
        <v>6500</v>
      </c>
      <c r="C28" s="141">
        <v>21298.75</v>
      </c>
    </row>
    <row r="29" spans="1:3" x14ac:dyDescent="0.2">
      <c r="A29">
        <v>1</v>
      </c>
      <c r="B29" s="161">
        <v>6500</v>
      </c>
      <c r="C29" s="141">
        <v>26718.380000000005</v>
      </c>
    </row>
  </sheetData>
  <sortState xmlns:xlrd2="http://schemas.microsoft.com/office/spreadsheetml/2017/richdata2" ref="A1:BF29">
    <sortCondition ref="C1:C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48</vt:i4>
      </vt:variant>
      <vt:variant>
        <vt:lpstr>Named Ranges</vt:lpstr>
      </vt:variant>
      <vt:variant>
        <vt:i4>47</vt:i4>
      </vt:variant>
    </vt:vector>
  </HeadingPairs>
  <TitlesOfParts>
    <vt:vector size="95" baseType="lpstr">
      <vt:lpstr>01-10-2019</vt:lpstr>
      <vt:lpstr>01-17-2019 BONUS</vt:lpstr>
      <vt:lpstr>01-24-19</vt:lpstr>
      <vt:lpstr>01-24-2019 BONUS</vt:lpstr>
      <vt:lpstr>02-07-19</vt:lpstr>
      <vt:lpstr>02-22-19</vt:lpstr>
      <vt:lpstr>02-14-2019 BONUS</vt:lpstr>
      <vt:lpstr>02-28-2019 BONUS</vt:lpstr>
      <vt:lpstr>03-07-2019</vt:lpstr>
      <vt:lpstr>03-15-2019 BONUS</vt:lpstr>
      <vt:lpstr>03-22-2019</vt:lpstr>
      <vt:lpstr>02-28-2019 COMMISSION</vt:lpstr>
      <vt:lpstr>04-04-2019</vt:lpstr>
      <vt:lpstr>04-18-2019</vt:lpstr>
      <vt:lpstr>03-31-2019 COMMISSION</vt:lpstr>
      <vt:lpstr>03-31-2019 COMMISSION (2)</vt:lpstr>
      <vt:lpstr>05-02-2019</vt:lpstr>
      <vt:lpstr>04 30 2019 BONUS &amp; COMMISSION</vt:lpstr>
      <vt:lpstr>05-15-2019</vt:lpstr>
      <vt:lpstr>05-17-2019</vt:lpstr>
      <vt:lpstr>05-31-2019</vt:lpstr>
      <vt:lpstr>06-13-2019</vt:lpstr>
      <vt:lpstr>06-28-2019</vt:lpstr>
      <vt:lpstr>07-01-2019</vt:lpstr>
      <vt:lpstr>07-12-19</vt:lpstr>
      <vt:lpstr>07-22-2019</vt:lpstr>
      <vt:lpstr>07-25-2019</vt:lpstr>
      <vt:lpstr>07-29-2019</vt:lpstr>
      <vt:lpstr>08-08-2019</vt:lpstr>
      <vt:lpstr>08-22-2019</vt:lpstr>
      <vt:lpstr>08-26-2019</vt:lpstr>
      <vt:lpstr>09-06-2019</vt:lpstr>
      <vt:lpstr>09-12-2019</vt:lpstr>
      <vt:lpstr>09-19-2019</vt:lpstr>
      <vt:lpstr>10-03-2019</vt:lpstr>
      <vt:lpstr>10-16-2019</vt:lpstr>
      <vt:lpstr>10-17-2019</vt:lpstr>
      <vt:lpstr>10-22-2019</vt:lpstr>
      <vt:lpstr>10-31-2019</vt:lpstr>
      <vt:lpstr>11-14-2019</vt:lpstr>
      <vt:lpstr>11-12-2019</vt:lpstr>
      <vt:lpstr>11-27-2019</vt:lpstr>
      <vt:lpstr>12-10-2019</vt:lpstr>
      <vt:lpstr>12-12-2019</vt:lpstr>
      <vt:lpstr>12-10-2019 ADJ</vt:lpstr>
      <vt:lpstr>12-13-19 PR ADJUSTMENT ACH</vt:lpstr>
      <vt:lpstr>12-27-2019</vt:lpstr>
      <vt:lpstr>JE</vt:lpstr>
      <vt:lpstr>'01-10-2019'!Print_Area</vt:lpstr>
      <vt:lpstr>'01-17-2019 BONUS'!Print_Area</vt:lpstr>
      <vt:lpstr>'01-24-19'!Print_Area</vt:lpstr>
      <vt:lpstr>'01-24-2019 BONUS'!Print_Area</vt:lpstr>
      <vt:lpstr>'02-07-19'!Print_Area</vt:lpstr>
      <vt:lpstr>'02-14-2019 BONUS'!Print_Area</vt:lpstr>
      <vt:lpstr>'02-22-19'!Print_Area</vt:lpstr>
      <vt:lpstr>'02-28-2019 BONUS'!Print_Area</vt:lpstr>
      <vt:lpstr>'02-28-2019 COMMISSION'!Print_Area</vt:lpstr>
      <vt:lpstr>'03-07-2019'!Print_Area</vt:lpstr>
      <vt:lpstr>'03-15-2019 BONUS'!Print_Area</vt:lpstr>
      <vt:lpstr>'03-22-2019'!Print_Area</vt:lpstr>
      <vt:lpstr>'03-31-2019 COMMISSION'!Print_Area</vt:lpstr>
      <vt:lpstr>'03-31-2019 COMMISSION (2)'!Print_Area</vt:lpstr>
      <vt:lpstr>'04 30 2019 BONUS &amp; COMMISSION'!Print_Area</vt:lpstr>
      <vt:lpstr>'04-04-2019'!Print_Area</vt:lpstr>
      <vt:lpstr>'04-18-2019'!Print_Area</vt:lpstr>
      <vt:lpstr>'05-02-2019'!Print_Area</vt:lpstr>
      <vt:lpstr>'05-15-2019'!Print_Area</vt:lpstr>
      <vt:lpstr>'05-17-2019'!Print_Area</vt:lpstr>
      <vt:lpstr>'05-31-2019'!Print_Area</vt:lpstr>
      <vt:lpstr>'06-13-2019'!Print_Area</vt:lpstr>
      <vt:lpstr>'06-28-2019'!Print_Area</vt:lpstr>
      <vt:lpstr>'07-01-2019'!Print_Area</vt:lpstr>
      <vt:lpstr>'07-12-19'!Print_Area</vt:lpstr>
      <vt:lpstr>'07-22-2019'!Print_Area</vt:lpstr>
      <vt:lpstr>'07-25-2019'!Print_Area</vt:lpstr>
      <vt:lpstr>'07-29-2019'!Print_Area</vt:lpstr>
      <vt:lpstr>'08-08-2019'!Print_Area</vt:lpstr>
      <vt:lpstr>'08-22-2019'!Print_Area</vt:lpstr>
      <vt:lpstr>'08-26-2019'!Print_Area</vt:lpstr>
      <vt:lpstr>'09-06-2019'!Print_Area</vt:lpstr>
      <vt:lpstr>'09-12-2019'!Print_Area</vt:lpstr>
      <vt:lpstr>'09-19-2019'!Print_Area</vt:lpstr>
      <vt:lpstr>'10-03-2019'!Print_Area</vt:lpstr>
      <vt:lpstr>'10-16-2019'!Print_Area</vt:lpstr>
      <vt:lpstr>'10-17-2019'!Print_Area</vt:lpstr>
      <vt:lpstr>'10-22-2019'!Print_Area</vt:lpstr>
      <vt:lpstr>'10-31-2019'!Print_Area</vt:lpstr>
      <vt:lpstr>'11-12-2019'!Print_Area</vt:lpstr>
      <vt:lpstr>'11-14-2019'!Print_Area</vt:lpstr>
      <vt:lpstr>'11-27-2019'!Print_Area</vt:lpstr>
      <vt:lpstr>'12-10-2019'!Print_Area</vt:lpstr>
      <vt:lpstr>'12-10-2019 ADJ'!Print_Area</vt:lpstr>
      <vt:lpstr>'12-12-2019'!Print_Area</vt:lpstr>
      <vt:lpstr>'12-13-19 PR ADJUSTMENT ACH'!Print_Area</vt:lpstr>
      <vt:lpstr>'12-27-2019'!Print_Area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V. Plotkin</dc:creator>
  <cp:lastModifiedBy>Vera V. Plotkin</cp:lastModifiedBy>
  <cp:lastPrinted>2020-01-02T18:09:07Z</cp:lastPrinted>
  <dcterms:created xsi:type="dcterms:W3CDTF">2019-01-14T16:29:55Z</dcterms:created>
  <dcterms:modified xsi:type="dcterms:W3CDTF">2020-02-12T21:28:21Z</dcterms:modified>
</cp:coreProperties>
</file>