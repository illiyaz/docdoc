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ma\Desktop\"/>
    </mc:Choice>
  </mc:AlternateContent>
  <xr:revisionPtr revIDLastSave="0" documentId="13_ncr:8001_{B8C32F2A-0BD8-412D-B20B-0BEC38659FC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2" i="1" l="1"/>
  <c r="L52" i="1"/>
</calcChain>
</file>

<file path=xl/sharedStrings.xml><?xml version="1.0" encoding="utf-8"?>
<sst xmlns="http://schemas.openxmlformats.org/spreadsheetml/2006/main" count="728" uniqueCount="383">
  <si>
    <t>SSN</t>
  </si>
  <si>
    <t>First Name</t>
  </si>
  <si>
    <t>Middle Name</t>
  </si>
  <si>
    <t>Last Name</t>
  </si>
  <si>
    <t>Status Code</t>
  </si>
  <si>
    <t>Status Date</t>
  </si>
  <si>
    <t>Class Code</t>
  </si>
  <si>
    <t>Class Code Date</t>
  </si>
  <si>
    <t>Pad</t>
  </si>
  <si>
    <t>Gross Taxable Compensation</t>
  </si>
  <si>
    <t>Excluded Compensation</t>
  </si>
  <si>
    <t>Deferral</t>
  </si>
  <si>
    <t>Roth Deferral</t>
  </si>
  <si>
    <t>Employer Contribution</t>
  </si>
  <si>
    <t>Credited Hours of Service</t>
  </si>
  <si>
    <t>Year To Date Gross Taxable Comp</t>
  </si>
  <si>
    <t>Year to Date Excluded Compensati</t>
  </si>
  <si>
    <t>Year to Date Deferral $</t>
  </si>
  <si>
    <t>Year to Date Deferral Roth $</t>
  </si>
  <si>
    <t>Year to Date Employer Contributi</t>
  </si>
  <si>
    <t xml:space="preserve">Year to Date Credited Hours </t>
  </si>
  <si>
    <t>Date of Birth</t>
  </si>
  <si>
    <t>Date of Hire</t>
  </si>
  <si>
    <t>Date of Term</t>
  </si>
  <si>
    <t>Contact Telephone Number</t>
  </si>
  <si>
    <t>Email Address</t>
  </si>
  <si>
    <t>Address 1</t>
  </si>
  <si>
    <t>Address 2</t>
  </si>
  <si>
    <t>City</t>
  </si>
  <si>
    <t>State</t>
  </si>
  <si>
    <t>Zip Code</t>
  </si>
  <si>
    <t>Rehire Date</t>
  </si>
  <si>
    <t>204-60-6721</t>
  </si>
  <si>
    <t>Matthew</t>
  </si>
  <si>
    <t>D</t>
  </si>
  <si>
    <t>Stigura</t>
  </si>
  <si>
    <t>A</t>
  </si>
  <si>
    <t>F</t>
  </si>
  <si>
    <t/>
  </si>
  <si>
    <t>mstigura@jswallacegroup.com</t>
  </si>
  <si>
    <t>303 Laurelwood Drive</t>
  </si>
  <si>
    <t>Douglassville</t>
  </si>
  <si>
    <t>PA</t>
  </si>
  <si>
    <t>19518</t>
  </si>
  <si>
    <t>187-68-0350</t>
  </si>
  <si>
    <t>David</t>
  </si>
  <si>
    <t>M</t>
  </si>
  <si>
    <t>Chwastyk</t>
  </si>
  <si>
    <t>610-554-4582</t>
  </si>
  <si>
    <t>davechwastyk@jswallacegroup.com</t>
  </si>
  <si>
    <t>1045 N West End Blvd.</t>
  </si>
  <si>
    <t>Lot #143</t>
  </si>
  <si>
    <t>Quakertown</t>
  </si>
  <si>
    <t>18951</t>
  </si>
  <si>
    <t>190-80-1876</t>
  </si>
  <si>
    <t>Brianna</t>
  </si>
  <si>
    <t>Nicole</t>
  </si>
  <si>
    <t>Coyle</t>
  </si>
  <si>
    <t>I</t>
  </si>
  <si>
    <t>610-252-3611</t>
  </si>
  <si>
    <t>bcoyle@jswallacegroup.com</t>
  </si>
  <si>
    <t xml:space="preserve">2244 3rd Street  </t>
  </si>
  <si>
    <t>Easton</t>
  </si>
  <si>
    <t>18042</t>
  </si>
  <si>
    <t>173-72-9656</t>
  </si>
  <si>
    <t>Katelyn</t>
  </si>
  <si>
    <t>E</t>
  </si>
  <si>
    <t>Mackenzie</t>
  </si>
  <si>
    <t>kmackenzie@jswallacegroup.com</t>
  </si>
  <si>
    <t>520 Heckman Avenue</t>
  </si>
  <si>
    <t>Nazareth</t>
  </si>
  <si>
    <t>18064</t>
  </si>
  <si>
    <t>450-79-0952</t>
  </si>
  <si>
    <t>Jeffrey</t>
  </si>
  <si>
    <t>Alan</t>
  </si>
  <si>
    <t>Sanders</t>
  </si>
  <si>
    <t>jsanders@jswallacegroup.com</t>
  </si>
  <si>
    <t>15 Tamarack Court</t>
  </si>
  <si>
    <t>18040</t>
  </si>
  <si>
    <t>139-62-8255</t>
  </si>
  <si>
    <t>John</t>
  </si>
  <si>
    <t>Dilan</t>
  </si>
  <si>
    <t>jdilan@jswallacegroup.com</t>
  </si>
  <si>
    <t>460 Main Street</t>
  </si>
  <si>
    <t>Freemansburg</t>
  </si>
  <si>
    <t>18017</t>
  </si>
  <si>
    <t>186-40-9340</t>
  </si>
  <si>
    <t>Thomas</t>
  </si>
  <si>
    <t>S</t>
  </si>
  <si>
    <t>Horn</t>
  </si>
  <si>
    <t>610-653-4887</t>
  </si>
  <si>
    <t>thorn@jswallacegroup.com</t>
  </si>
  <si>
    <t>637 16th Avenue</t>
  </si>
  <si>
    <t>Bethlehem</t>
  </si>
  <si>
    <t>18018</t>
  </si>
  <si>
    <t>191-44-3122</t>
  </si>
  <si>
    <t>Green</t>
  </si>
  <si>
    <t>610-965-8796</t>
  </si>
  <si>
    <t>jgreen@jswallacegroup.com</t>
  </si>
  <si>
    <t>6524 Stationview East</t>
  </si>
  <si>
    <t>Zionsville</t>
  </si>
  <si>
    <t>18092</t>
  </si>
  <si>
    <t>168-64-4642</t>
  </si>
  <si>
    <t>Craig</t>
  </si>
  <si>
    <t>T</t>
  </si>
  <si>
    <t>Wallace</t>
  </si>
  <si>
    <t>cwallace@jswallacegroup.com</t>
  </si>
  <si>
    <t>405 Jacob Court</t>
  </si>
  <si>
    <t>220-23-5450</t>
  </si>
  <si>
    <t>Ziporah</t>
  </si>
  <si>
    <t>Choice</t>
  </si>
  <si>
    <t>862-220-6041</t>
  </si>
  <si>
    <t>Zchoice@jswallacegroup.com</t>
  </si>
  <si>
    <t>79 Sitgreaves Street</t>
  </si>
  <si>
    <t>PHILLIPSBURG</t>
  </si>
  <si>
    <t>NJ</t>
  </si>
  <si>
    <t>08865</t>
  </si>
  <si>
    <t>175-66-6153</t>
  </si>
  <si>
    <t>Robert</t>
  </si>
  <si>
    <t>Eck</t>
  </si>
  <si>
    <t>484-599-0413</t>
  </si>
  <si>
    <t>Reck@jswallacegroup.com</t>
  </si>
  <si>
    <t>3006 Sequoia Drive</t>
  </si>
  <si>
    <t>Macungie</t>
  </si>
  <si>
    <t>18062</t>
  </si>
  <si>
    <t>192-68-9067</t>
  </si>
  <si>
    <t>Aaron</t>
  </si>
  <si>
    <t>Spradlin</t>
  </si>
  <si>
    <t>aspradlin@jswallacegroup.com</t>
  </si>
  <si>
    <t>2445 Polk Valley Rd.</t>
  </si>
  <si>
    <t>Hellertown</t>
  </si>
  <si>
    <t>18055</t>
  </si>
  <si>
    <t>144-76-8944</t>
  </si>
  <si>
    <t>Frank</t>
  </si>
  <si>
    <t>Clymer Jr</t>
  </si>
  <si>
    <t>fclymer@jswallacegroup.com</t>
  </si>
  <si>
    <t>2883 Hodle Avenue</t>
  </si>
  <si>
    <t>18045</t>
  </si>
  <si>
    <t>177-70-7893</t>
  </si>
  <si>
    <t>Anthony</t>
  </si>
  <si>
    <t>Mondillo</t>
  </si>
  <si>
    <t>610-253-0968</t>
  </si>
  <si>
    <t>amondillo@jswallacegroup.com</t>
  </si>
  <si>
    <t>411 N 8th Street</t>
  </si>
  <si>
    <t>193-80-7272</t>
  </si>
  <si>
    <t>Aiden</t>
  </si>
  <si>
    <t>P</t>
  </si>
  <si>
    <t>apspradlin@jswallacegroup.com</t>
  </si>
  <si>
    <t>7419 Sweetwood Drive</t>
  </si>
  <si>
    <t>187-80-9544</t>
  </si>
  <si>
    <t>Zachary</t>
  </si>
  <si>
    <t>W</t>
  </si>
  <si>
    <t>610-906-4358</t>
  </si>
  <si>
    <t>zstigura@jswallacegroup.com</t>
  </si>
  <si>
    <t>124-72-7772</t>
  </si>
  <si>
    <t>Helen</t>
  </si>
  <si>
    <t>McKibbin</t>
  </si>
  <si>
    <t>helenmckibbin@gmail.com</t>
  </si>
  <si>
    <t>2300 Sheriff Drive</t>
  </si>
  <si>
    <t>190-78-3583</t>
  </si>
  <si>
    <t>Courtney</t>
  </si>
  <si>
    <t>Lynn</t>
  </si>
  <si>
    <t>Adamko</t>
  </si>
  <si>
    <t>484-661-6893</t>
  </si>
  <si>
    <t>cadamko@jswallacegroup.com</t>
  </si>
  <si>
    <t>715 Pardee Street</t>
  </si>
  <si>
    <t>183-68-3747</t>
  </si>
  <si>
    <t>Allison</t>
  </si>
  <si>
    <t>Bengel</t>
  </si>
  <si>
    <t>abengel@jswallacegroup.com</t>
  </si>
  <si>
    <t>1627 Ferry Street</t>
  </si>
  <si>
    <t>135-70-5836</t>
  </si>
  <si>
    <t>Dawn</t>
  </si>
  <si>
    <t>Cavanaugh</t>
  </si>
  <si>
    <t>dcavanaugh@jswallacegroup.com</t>
  </si>
  <si>
    <t>63 Olde Penn Drive</t>
  </si>
  <si>
    <t>162-74-0723</t>
  </si>
  <si>
    <t>Jamie</t>
  </si>
  <si>
    <t>L</t>
  </si>
  <si>
    <t>Crawford</t>
  </si>
  <si>
    <t>610-762-9097</t>
  </si>
  <si>
    <t>jcrawford@jswallacegroup.com</t>
  </si>
  <si>
    <t>2701 Washington Street</t>
  </si>
  <si>
    <t>089-46-9227</t>
  </si>
  <si>
    <t>Marianne</t>
  </si>
  <si>
    <t>R</t>
  </si>
  <si>
    <t>Hunt</t>
  </si>
  <si>
    <t>610-746-0106</t>
  </si>
  <si>
    <t>mhunt@jswallacegroup.com</t>
  </si>
  <si>
    <t>209 Old Easton Road</t>
  </si>
  <si>
    <t>Stockertown</t>
  </si>
  <si>
    <t>18083</t>
  </si>
  <si>
    <t>179-68-8094</t>
  </si>
  <si>
    <t>Stacey</t>
  </si>
  <si>
    <t>Larison</t>
  </si>
  <si>
    <t>610-849-2164</t>
  </si>
  <si>
    <t>slarison@jswallacegroup.com</t>
  </si>
  <si>
    <t>2426 Farmersville Road</t>
  </si>
  <si>
    <t>18020</t>
  </si>
  <si>
    <t>180-54-6417</t>
  </si>
  <si>
    <t>Karen</t>
  </si>
  <si>
    <t>Rutt</t>
  </si>
  <si>
    <t>krutt@jswallacegroup.com</t>
  </si>
  <si>
    <t>164 Treeline Drive</t>
  </si>
  <si>
    <t>Pen Argyl</t>
  </si>
  <si>
    <t>18072</t>
  </si>
  <si>
    <t>160-54-5246</t>
  </si>
  <si>
    <t>Robbyn</t>
  </si>
  <si>
    <t>Seier</t>
  </si>
  <si>
    <t>610-262-8498</t>
  </si>
  <si>
    <t>rseier@jswallacegroup.com</t>
  </si>
  <si>
    <t>515 S Cottonwood Road</t>
  </si>
  <si>
    <t>Northampton</t>
  </si>
  <si>
    <t>18067</t>
  </si>
  <si>
    <t>189-68-9991</t>
  </si>
  <si>
    <t>Vail</t>
  </si>
  <si>
    <t>610-841-6040</t>
  </si>
  <si>
    <t>avail@jswallacegroup.com</t>
  </si>
  <si>
    <t>511 Line Street</t>
  </si>
  <si>
    <t>181-54-3889</t>
  </si>
  <si>
    <t>Juliana</t>
  </si>
  <si>
    <t>N</t>
  </si>
  <si>
    <t>Wagner</t>
  </si>
  <si>
    <t>610-438-3421</t>
  </si>
  <si>
    <t>jwagner@jswallacegroup.com</t>
  </si>
  <si>
    <t>745 Chief Tatamy Street</t>
  </si>
  <si>
    <t>184-52-2834</t>
  </si>
  <si>
    <t>Suzanne</t>
  </si>
  <si>
    <t>Albright</t>
  </si>
  <si>
    <t>610-442-9108</t>
  </si>
  <si>
    <t>salbright@jswallacegroup.com</t>
  </si>
  <si>
    <t>27 Penn Street</t>
  </si>
  <si>
    <t>145-72-0615</t>
  </si>
  <si>
    <t>Tina</t>
  </si>
  <si>
    <t>610-216-1262</t>
  </si>
  <si>
    <t>tcoyle@jswallacegroup.com</t>
  </si>
  <si>
    <t>2244 Third Street</t>
  </si>
  <si>
    <t>186-64-5173</t>
  </si>
  <si>
    <t>Troy</t>
  </si>
  <si>
    <t>Etchberger</t>
  </si>
  <si>
    <t>610-927-0825</t>
  </si>
  <si>
    <t>tetchberger@jswallacegroup.com</t>
  </si>
  <si>
    <t>1028 Baker Road</t>
  </si>
  <si>
    <t>Sinking Spring</t>
  </si>
  <si>
    <t>19608</t>
  </si>
  <si>
    <t>170-62-5832</t>
  </si>
  <si>
    <t>Neil</t>
  </si>
  <si>
    <t>C</t>
  </si>
  <si>
    <t>Davis</t>
  </si>
  <si>
    <t>717-371-5740</t>
  </si>
  <si>
    <t>ndavis@jswallacegroup.com</t>
  </si>
  <si>
    <t>230 North Wyomissing Avenue</t>
  </si>
  <si>
    <t>Reading</t>
  </si>
  <si>
    <t>19607</t>
  </si>
  <si>
    <t>168-66-5440</t>
  </si>
  <si>
    <t>Lisa</t>
  </si>
  <si>
    <t>Martin</t>
  </si>
  <si>
    <t>610-401-3069</t>
  </si>
  <si>
    <t>lmartin@jswallacegroup.com</t>
  </si>
  <si>
    <t>140 Oley Road</t>
  </si>
  <si>
    <t>Fleetwood</t>
  </si>
  <si>
    <t>19522</t>
  </si>
  <si>
    <t>172-74-2402</t>
  </si>
  <si>
    <t>Okonski</t>
  </si>
  <si>
    <t>zokonski@jswallacegroup.com</t>
  </si>
  <si>
    <t>2519 Grant Street</t>
  </si>
  <si>
    <t>19606</t>
  </si>
  <si>
    <t>178-56-1856</t>
  </si>
  <si>
    <t>Sanford</t>
  </si>
  <si>
    <t>Kochel</t>
  </si>
  <si>
    <t>skochel@jswallacegroup.com</t>
  </si>
  <si>
    <t>722 N 11th Street</t>
  </si>
  <si>
    <t>19604</t>
  </si>
  <si>
    <t>209-58-4894</t>
  </si>
  <si>
    <t>Sean</t>
  </si>
  <si>
    <t>OConnell</t>
  </si>
  <si>
    <t>soconnell@jswallacegroup.com</t>
  </si>
  <si>
    <t>2728 Kutztown Road</t>
  </si>
  <si>
    <t>19605</t>
  </si>
  <si>
    <t>046-60-0038</t>
  </si>
  <si>
    <t>Rockwell</t>
  </si>
  <si>
    <t>610-775-1223</t>
  </si>
  <si>
    <t>mrockwell@jswallacegroup.com</t>
  </si>
  <si>
    <t>2005 Old Lancaster Pike</t>
  </si>
  <si>
    <t>200-72-8204</t>
  </si>
  <si>
    <t>Brian</t>
  </si>
  <si>
    <t>484-523-3464</t>
  </si>
  <si>
    <t>bgreen@jswallacegroup.com</t>
  </si>
  <si>
    <t>189-58-0907</t>
  </si>
  <si>
    <t>Jason</t>
  </si>
  <si>
    <t>Greenwalt</t>
  </si>
  <si>
    <t>484-769-2561</t>
  </si>
  <si>
    <t>buckeyes2378@yahoo.com</t>
  </si>
  <si>
    <t xml:space="preserve">512 Laurel St </t>
  </si>
  <si>
    <t>19602</t>
  </si>
  <si>
    <t>156-76-2477</t>
  </si>
  <si>
    <t>Paul</t>
  </si>
  <si>
    <t>J</t>
  </si>
  <si>
    <t>Rivera Jr</t>
  </si>
  <si>
    <t>484-794-7408</t>
  </si>
  <si>
    <t>privera@jswallacegroup.com</t>
  </si>
  <si>
    <t>407 North Wyomissing Boulevard</t>
  </si>
  <si>
    <t>Wyomissing</t>
  </si>
  <si>
    <t>19610</t>
  </si>
  <si>
    <t>187-78-7377</t>
  </si>
  <si>
    <t>Schell</t>
  </si>
  <si>
    <t>dschell@jswallacegroup.com</t>
  </si>
  <si>
    <t>24 Maywood Avenue</t>
  </si>
  <si>
    <t>Sinking Springs</t>
  </si>
  <si>
    <t>165-70-7199</t>
  </si>
  <si>
    <t>Vincent</t>
  </si>
  <si>
    <t>DiVittore</t>
  </si>
  <si>
    <t>vdivittore@jswallacegroup.com</t>
  </si>
  <si>
    <t>107 Koser Rd</t>
  </si>
  <si>
    <t>Elizabethtown</t>
  </si>
  <si>
    <t>17022</t>
  </si>
  <si>
    <t>188-58-8887</t>
  </si>
  <si>
    <t>Jaime</t>
  </si>
  <si>
    <t>Rotz</t>
  </si>
  <si>
    <t>717-743-5825</t>
  </si>
  <si>
    <t>jrotz@jswallacegroup.com</t>
  </si>
  <si>
    <t>160 Park Drive</t>
  </si>
  <si>
    <t>Dover</t>
  </si>
  <si>
    <t>17315</t>
  </si>
  <si>
    <t>242-57-2059</t>
  </si>
  <si>
    <t>Richard</t>
  </si>
  <si>
    <t xml:space="preserve">Bailey </t>
  </si>
  <si>
    <t>717-686-0580</t>
  </si>
  <si>
    <t>rbailey@jswallacegroup.com</t>
  </si>
  <si>
    <t>1823 Lakeside Drive</t>
  </si>
  <si>
    <t>Middletown</t>
  </si>
  <si>
    <t>17057</t>
  </si>
  <si>
    <t>500-74-8479</t>
  </si>
  <si>
    <t>Brech</t>
  </si>
  <si>
    <t>410-288-2311</t>
  </si>
  <si>
    <t>mbrech@jswallacegroup.com</t>
  </si>
  <si>
    <t>2818 Anita Drive</t>
  </si>
  <si>
    <t>235-31-5245</t>
  </si>
  <si>
    <t>Ryan</t>
  </si>
  <si>
    <t>Summers</t>
  </si>
  <si>
    <t>717-412-0666</t>
  </si>
  <si>
    <t>rsummers@jswallacegroup.com</t>
  </si>
  <si>
    <t>215 Redwood Street</t>
  </si>
  <si>
    <t>Harrisburg</t>
  </si>
  <si>
    <t>17109</t>
  </si>
  <si>
    <t>650-07-8901</t>
  </si>
  <si>
    <t>Chad</t>
  </si>
  <si>
    <t>Terlep</t>
  </si>
  <si>
    <t>chademerson98@gmail.com</t>
  </si>
  <si>
    <t>2213 Boxwood Lane</t>
  </si>
  <si>
    <t>Mechanicsburg</t>
  </si>
  <si>
    <t>17055</t>
  </si>
  <si>
    <t>163-68-3540</t>
  </si>
  <si>
    <t>Mark</t>
  </si>
  <si>
    <t>Young</t>
  </si>
  <si>
    <t>610-883-7138</t>
  </si>
  <si>
    <t>myoung@jswallacegroup.com</t>
  </si>
  <si>
    <t>806 Briarwood Lane</t>
  </si>
  <si>
    <t>Camp Hill</t>
  </si>
  <si>
    <t>17011</t>
  </si>
  <si>
    <t>142-74-0056</t>
  </si>
  <si>
    <t>Pascual</t>
  </si>
  <si>
    <t>Nieves</t>
  </si>
  <si>
    <t>pascual0087@gmail.com</t>
  </si>
  <si>
    <t>382 Eshelman Street</t>
  </si>
  <si>
    <t>Highspire</t>
  </si>
  <si>
    <t>17034</t>
  </si>
  <si>
    <t>185-62-9609</t>
  </si>
  <si>
    <t>G</t>
  </si>
  <si>
    <t>Snyder</t>
  </si>
  <si>
    <t>717-991-1168</t>
  </si>
  <si>
    <t>msnyder@jswallacegroup.com</t>
  </si>
  <si>
    <t>7315 Stone Ridge Circle</t>
  </si>
  <si>
    <t>17112</t>
  </si>
  <si>
    <t>189-50-7255</t>
  </si>
  <si>
    <t>Jesse</t>
  </si>
  <si>
    <t>Miller</t>
  </si>
  <si>
    <t>717-350-4924</t>
  </si>
  <si>
    <t>jmiller@jswallacegroup.com</t>
  </si>
  <si>
    <t>816 Chambers Street</t>
  </si>
  <si>
    <t>Steelton</t>
  </si>
  <si>
    <t>17113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</si>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</sst>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"/>
    <numFmt numFmtId="165" formatCode="[$-10409]0.0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164" fontId="3" fillId="0" borderId="0" xfId="0" applyNumberFormat="1" applyFont="1" applyFill="1" applyBorder="1" applyAlignment="1">
      <alignment horizontal="center" vertical="top" wrapText="1" readingOrder="1"/>
    </xf>
    <xf numFmtId="165" fontId="3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165" fontId="2" fillId="0" borderId="1" xfId="0" applyNumberFormat="1" applyFont="1" applyFill="1" applyBorder="1" applyAlignment="1">
      <alignment horizontal="right" vertical="center" wrapText="1" readingOrder="1"/>
    </xf>
    <xf numFmtId="165" fontId="2" fillId="0" borderId="1" xfId="0" applyNumberFormat="1" applyFont="1" applyFill="1" applyBorder="1" applyAlignment="1">
      <alignment horizontal="left" vertical="center" wrapText="1" readingOrder="1"/>
    </xf>
    <xf numFmtId="0" fontId="2" fillId="0" borderId="1" xfId="0" applyNumberFormat="1" applyFont="1" applyFill="1" applyBorder="1" applyAlignment="1">
      <alignment horizontal="left" vertical="center" wrapText="1" readingOrder="1"/>
    </xf>
    <xf numFmtId="0" fontId="1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"/>
  <sheetViews>
    <sheetView showGridLines="0" tabSelected="1" topLeftCell="A30" workbookViewId="0">
      <selection activeCell="M53" sqref="M53"/>
    </sheetView>
  </sheetViews>
  <sheetFormatPr defaultRowHeight="14.5"/>
  <cols>
    <col min="1" max="5" width="13.6328125" customWidth="1"/>
    <col min="6" max="6" width="8.90625" customWidth="1"/>
    <col min="7" max="9" width="13.6328125" customWidth="1"/>
    <col min="10" max="21" width="11.6328125" customWidth="1"/>
    <col min="22" max="24" width="8.90625" customWidth="1"/>
    <col min="25" max="25" width="13.6328125" customWidth="1"/>
    <col min="26" max="29" width="27.453125" customWidth="1"/>
    <col min="30" max="31" width="13.6328125" customWidth="1"/>
    <col min="32" max="32" width="8.90625" customWidth="1"/>
    <col min="33" max="33" width="0" hidden="1" customWidth="1"/>
  </cols>
  <sheetData>
    <row r="1" spans="1:32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5">
        <v>44165</v>
      </c>
      <c r="G2" s="4" t="s">
        <v>37</v>
      </c>
      <c r="H2" s="4" t="s">
        <v>38</v>
      </c>
      <c r="I2" s="4" t="s">
        <v>38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57132.71</v>
      </c>
      <c r="Q2" s="6">
        <v>0</v>
      </c>
      <c r="R2" s="6">
        <v>1714.02</v>
      </c>
      <c r="S2" s="6">
        <v>0</v>
      </c>
      <c r="T2" s="6">
        <v>1714.02</v>
      </c>
      <c r="U2" s="6">
        <v>920</v>
      </c>
      <c r="V2" s="5">
        <v>24351</v>
      </c>
      <c r="W2" s="5">
        <v>44165</v>
      </c>
      <c r="X2" s="7"/>
      <c r="Y2" s="4"/>
      <c r="Z2" s="4" t="s">
        <v>39</v>
      </c>
      <c r="AA2" s="4" t="s">
        <v>40</v>
      </c>
      <c r="AB2" s="4"/>
      <c r="AC2" s="4" t="s">
        <v>41</v>
      </c>
      <c r="AD2" s="4" t="s">
        <v>42</v>
      </c>
      <c r="AE2" s="4" t="s">
        <v>43</v>
      </c>
      <c r="AF2" s="7"/>
    </row>
    <row r="3" spans="1:32">
      <c r="A3" s="4" t="s">
        <v>44</v>
      </c>
      <c r="B3" s="4" t="s">
        <v>45</v>
      </c>
      <c r="C3" s="4" t="s">
        <v>46</v>
      </c>
      <c r="D3" s="4" t="s">
        <v>47</v>
      </c>
      <c r="E3" s="4" t="s">
        <v>36</v>
      </c>
      <c r="F3" s="5">
        <v>43509</v>
      </c>
      <c r="G3" s="4" t="s">
        <v>37</v>
      </c>
      <c r="H3" s="4" t="s">
        <v>38</v>
      </c>
      <c r="I3" s="4" t="s">
        <v>38</v>
      </c>
      <c r="J3" s="6">
        <v>1668.02</v>
      </c>
      <c r="K3" s="6">
        <v>0</v>
      </c>
      <c r="L3" s="6">
        <v>50.04</v>
      </c>
      <c r="M3" s="6">
        <v>0</v>
      </c>
      <c r="N3" s="6">
        <v>50.04</v>
      </c>
      <c r="O3" s="6">
        <v>0</v>
      </c>
      <c r="P3" s="6">
        <v>25103.17</v>
      </c>
      <c r="Q3" s="6">
        <v>0</v>
      </c>
      <c r="R3" s="6">
        <v>753.09</v>
      </c>
      <c r="S3" s="6">
        <v>0</v>
      </c>
      <c r="T3" s="6">
        <v>753.09</v>
      </c>
      <c r="U3" s="6">
        <v>997.25</v>
      </c>
      <c r="V3" s="5">
        <v>29922</v>
      </c>
      <c r="W3" s="5">
        <v>43509</v>
      </c>
      <c r="X3" s="7"/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42</v>
      </c>
      <c r="AE3" s="4" t="s">
        <v>53</v>
      </c>
      <c r="AF3" s="7"/>
    </row>
    <row r="4" spans="1:32">
      <c r="A4" s="4" t="s">
        <v>54</v>
      </c>
      <c r="B4" s="4" t="s">
        <v>55</v>
      </c>
      <c r="C4" s="4" t="s">
        <v>56</v>
      </c>
      <c r="D4" s="4" t="s">
        <v>57</v>
      </c>
      <c r="E4" s="4" t="s">
        <v>36</v>
      </c>
      <c r="F4" s="5">
        <v>44697</v>
      </c>
      <c r="G4" s="4" t="s">
        <v>58</v>
      </c>
      <c r="H4" s="4" t="s">
        <v>38</v>
      </c>
      <c r="I4" s="4" t="s">
        <v>38</v>
      </c>
      <c r="J4" s="6">
        <v>763.2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2090.6999999999998</v>
      </c>
      <c r="Q4" s="6">
        <v>0</v>
      </c>
      <c r="R4" s="6">
        <v>0</v>
      </c>
      <c r="S4" s="6">
        <v>0</v>
      </c>
      <c r="T4" s="6">
        <v>0</v>
      </c>
      <c r="U4" s="6">
        <v>73.75</v>
      </c>
      <c r="V4" s="5">
        <v>37399</v>
      </c>
      <c r="W4" s="5">
        <v>44697</v>
      </c>
      <c r="X4" s="7"/>
      <c r="Y4" s="4" t="s">
        <v>59</v>
      </c>
      <c r="Z4" s="4" t="s">
        <v>60</v>
      </c>
      <c r="AA4" s="4" t="s">
        <v>61</v>
      </c>
      <c r="AB4" s="4"/>
      <c r="AC4" s="4" t="s">
        <v>62</v>
      </c>
      <c r="AD4" s="4" t="s">
        <v>42</v>
      </c>
      <c r="AE4" s="4" t="s">
        <v>63</v>
      </c>
      <c r="AF4" s="7"/>
    </row>
    <row r="5" spans="1:32">
      <c r="A5" s="4" t="s">
        <v>64</v>
      </c>
      <c r="B5" s="4" t="s">
        <v>65</v>
      </c>
      <c r="C5" s="4" t="s">
        <v>66</v>
      </c>
      <c r="D5" s="4" t="s">
        <v>67</v>
      </c>
      <c r="E5" s="4" t="s">
        <v>36</v>
      </c>
      <c r="F5" s="5">
        <v>39461</v>
      </c>
      <c r="G5" s="4" t="s">
        <v>37</v>
      </c>
      <c r="H5" s="4" t="s">
        <v>38</v>
      </c>
      <c r="I5" s="4" t="s">
        <v>38</v>
      </c>
      <c r="J5" s="6">
        <v>2738.36</v>
      </c>
      <c r="K5" s="6">
        <v>0</v>
      </c>
      <c r="L5" s="6">
        <v>82.15</v>
      </c>
      <c r="M5" s="6">
        <v>0</v>
      </c>
      <c r="N5" s="6">
        <v>82.15</v>
      </c>
      <c r="O5" s="6">
        <v>0</v>
      </c>
      <c r="P5" s="6">
        <v>34774.9</v>
      </c>
      <c r="Q5" s="6">
        <v>0</v>
      </c>
      <c r="R5" s="6">
        <v>1043.25</v>
      </c>
      <c r="S5" s="6">
        <v>0</v>
      </c>
      <c r="T5" s="6">
        <v>1043.25</v>
      </c>
      <c r="U5" s="6">
        <v>970.25</v>
      </c>
      <c r="V5" s="5">
        <v>32213</v>
      </c>
      <c r="W5" s="5">
        <v>39461</v>
      </c>
      <c r="X5" s="7"/>
      <c r="Y5" s="4"/>
      <c r="Z5" s="4" t="s">
        <v>68</v>
      </c>
      <c r="AA5" s="4" t="s">
        <v>69</v>
      </c>
      <c r="AB5" s="4"/>
      <c r="AC5" s="4" t="s">
        <v>70</v>
      </c>
      <c r="AD5" s="4" t="s">
        <v>42</v>
      </c>
      <c r="AE5" s="4" t="s">
        <v>71</v>
      </c>
      <c r="AF5" s="7"/>
    </row>
    <row r="6" spans="1:32">
      <c r="A6" s="4" t="s">
        <v>72</v>
      </c>
      <c r="B6" s="4" t="s">
        <v>73</v>
      </c>
      <c r="C6" s="4" t="s">
        <v>74</v>
      </c>
      <c r="D6" s="4" t="s">
        <v>75</v>
      </c>
      <c r="E6" s="4" t="s">
        <v>36</v>
      </c>
      <c r="F6" s="5">
        <v>43908</v>
      </c>
      <c r="G6" s="4" t="s">
        <v>37</v>
      </c>
      <c r="H6" s="4" t="s">
        <v>38</v>
      </c>
      <c r="I6" s="4" t="s">
        <v>38</v>
      </c>
      <c r="J6" s="6">
        <v>1755.36</v>
      </c>
      <c r="K6" s="6">
        <v>0</v>
      </c>
      <c r="L6" s="6">
        <v>52.66</v>
      </c>
      <c r="M6" s="6">
        <v>0</v>
      </c>
      <c r="N6" s="6">
        <v>52.66</v>
      </c>
      <c r="O6" s="6">
        <v>0</v>
      </c>
      <c r="P6" s="6">
        <v>24019.200000000001</v>
      </c>
      <c r="Q6" s="6">
        <v>0</v>
      </c>
      <c r="R6" s="6">
        <v>720.57</v>
      </c>
      <c r="S6" s="6">
        <v>0</v>
      </c>
      <c r="T6" s="6">
        <v>720.57</v>
      </c>
      <c r="U6" s="6">
        <v>903.25</v>
      </c>
      <c r="V6" s="5">
        <v>28692</v>
      </c>
      <c r="W6" s="5">
        <v>43908</v>
      </c>
      <c r="X6" s="7"/>
      <c r="Y6" s="4"/>
      <c r="Z6" s="4" t="s">
        <v>76</v>
      </c>
      <c r="AA6" s="4" t="s">
        <v>77</v>
      </c>
      <c r="AB6" s="4"/>
      <c r="AC6" s="4" t="s">
        <v>62</v>
      </c>
      <c r="AD6" s="4" t="s">
        <v>42</v>
      </c>
      <c r="AE6" s="4" t="s">
        <v>78</v>
      </c>
      <c r="AF6" s="7"/>
    </row>
    <row r="7" spans="1:32">
      <c r="A7" s="4" t="s">
        <v>79</v>
      </c>
      <c r="B7" s="4" t="s">
        <v>80</v>
      </c>
      <c r="C7" s="4" t="s">
        <v>46</v>
      </c>
      <c r="D7" s="4" t="s">
        <v>81</v>
      </c>
      <c r="E7" s="4" t="s">
        <v>36</v>
      </c>
      <c r="F7" s="5">
        <v>44242</v>
      </c>
      <c r="G7" s="4" t="s">
        <v>37</v>
      </c>
      <c r="H7" s="4" t="s">
        <v>38</v>
      </c>
      <c r="I7" s="4" t="s">
        <v>38</v>
      </c>
      <c r="J7" s="6">
        <v>1579.82</v>
      </c>
      <c r="K7" s="6">
        <v>0</v>
      </c>
      <c r="L7" s="6">
        <v>47.39</v>
      </c>
      <c r="M7" s="6">
        <v>0</v>
      </c>
      <c r="N7" s="6">
        <v>47.39</v>
      </c>
      <c r="O7" s="6">
        <v>0</v>
      </c>
      <c r="P7" s="6">
        <v>20709.07</v>
      </c>
      <c r="Q7" s="6">
        <v>0</v>
      </c>
      <c r="R7" s="6">
        <v>621.26</v>
      </c>
      <c r="S7" s="6">
        <v>0</v>
      </c>
      <c r="T7" s="6">
        <v>621.26</v>
      </c>
      <c r="U7" s="6">
        <v>871</v>
      </c>
      <c r="V7" s="5">
        <v>25926</v>
      </c>
      <c r="W7" s="5">
        <v>44242</v>
      </c>
      <c r="X7" s="7"/>
      <c r="Y7" s="4"/>
      <c r="Z7" s="4" t="s">
        <v>82</v>
      </c>
      <c r="AA7" s="4" t="s">
        <v>83</v>
      </c>
      <c r="AB7" s="4"/>
      <c r="AC7" s="4" t="s">
        <v>84</v>
      </c>
      <c r="AD7" s="4" t="s">
        <v>42</v>
      </c>
      <c r="AE7" s="4" t="s">
        <v>85</v>
      </c>
      <c r="AF7" s="7"/>
    </row>
    <row r="8" spans="1:32">
      <c r="A8" s="4" t="s">
        <v>86</v>
      </c>
      <c r="B8" s="4" t="s">
        <v>87</v>
      </c>
      <c r="C8" s="4" t="s">
        <v>88</v>
      </c>
      <c r="D8" s="4" t="s">
        <v>89</v>
      </c>
      <c r="E8" s="4" t="s">
        <v>36</v>
      </c>
      <c r="F8" s="5">
        <v>42807</v>
      </c>
      <c r="G8" s="4" t="s">
        <v>37</v>
      </c>
      <c r="H8" s="4" t="s">
        <v>38</v>
      </c>
      <c r="I8" s="4" t="s">
        <v>38</v>
      </c>
      <c r="J8" s="6">
        <v>1579.82</v>
      </c>
      <c r="K8" s="6">
        <v>0</v>
      </c>
      <c r="L8" s="6">
        <v>47.39</v>
      </c>
      <c r="M8" s="6">
        <v>0</v>
      </c>
      <c r="N8" s="6">
        <v>47.39</v>
      </c>
      <c r="O8" s="6">
        <v>0</v>
      </c>
      <c r="P8" s="6">
        <v>21505.49</v>
      </c>
      <c r="Q8" s="6">
        <v>0</v>
      </c>
      <c r="R8" s="6">
        <v>645.16</v>
      </c>
      <c r="S8" s="6">
        <v>0</v>
      </c>
      <c r="T8" s="6">
        <v>645.16</v>
      </c>
      <c r="U8" s="6">
        <v>913.5</v>
      </c>
      <c r="V8" s="5">
        <v>20841</v>
      </c>
      <c r="W8" s="5">
        <v>42807</v>
      </c>
      <c r="X8" s="7"/>
      <c r="Y8" s="4" t="s">
        <v>90</v>
      </c>
      <c r="Z8" s="4" t="s">
        <v>91</v>
      </c>
      <c r="AA8" s="4" t="s">
        <v>92</v>
      </c>
      <c r="AB8" s="4"/>
      <c r="AC8" s="4" t="s">
        <v>93</v>
      </c>
      <c r="AD8" s="4" t="s">
        <v>42</v>
      </c>
      <c r="AE8" s="4" t="s">
        <v>94</v>
      </c>
      <c r="AF8" s="7"/>
    </row>
    <row r="9" spans="1:32">
      <c r="A9" s="4" t="s">
        <v>95</v>
      </c>
      <c r="B9" s="4" t="s">
        <v>73</v>
      </c>
      <c r="C9" s="4" t="s">
        <v>66</v>
      </c>
      <c r="D9" s="4" t="s">
        <v>96</v>
      </c>
      <c r="E9" s="4" t="s">
        <v>36</v>
      </c>
      <c r="F9" s="5">
        <v>40528</v>
      </c>
      <c r="G9" s="4" t="s">
        <v>37</v>
      </c>
      <c r="H9" s="4" t="s">
        <v>38</v>
      </c>
      <c r="I9" s="4" t="s">
        <v>38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76153.88</v>
      </c>
      <c r="Q9" s="6">
        <v>0</v>
      </c>
      <c r="R9" s="6">
        <v>2284.59</v>
      </c>
      <c r="S9" s="6">
        <v>0</v>
      </c>
      <c r="T9" s="6">
        <v>2284.59</v>
      </c>
      <c r="U9" s="6">
        <v>880</v>
      </c>
      <c r="V9" s="5">
        <v>22290</v>
      </c>
      <c r="W9" s="5">
        <v>40528</v>
      </c>
      <c r="X9" s="7"/>
      <c r="Y9" s="4" t="s">
        <v>97</v>
      </c>
      <c r="Z9" s="4" t="s">
        <v>98</v>
      </c>
      <c r="AA9" s="4" t="s">
        <v>99</v>
      </c>
      <c r="AB9" s="4"/>
      <c r="AC9" s="4" t="s">
        <v>100</v>
      </c>
      <c r="AD9" s="4" t="s">
        <v>42</v>
      </c>
      <c r="AE9" s="4" t="s">
        <v>101</v>
      </c>
      <c r="AF9" s="7"/>
    </row>
    <row r="10" spans="1:32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36</v>
      </c>
      <c r="F10" s="5">
        <v>38874</v>
      </c>
      <c r="G10" s="4" t="s">
        <v>37</v>
      </c>
      <c r="H10" s="4" t="s">
        <v>38</v>
      </c>
      <c r="I10" s="4" t="s">
        <v>38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76153.88</v>
      </c>
      <c r="Q10" s="6">
        <v>0</v>
      </c>
      <c r="R10" s="6">
        <v>4569.18</v>
      </c>
      <c r="S10" s="6">
        <v>0</v>
      </c>
      <c r="T10" s="6">
        <v>2284.59</v>
      </c>
      <c r="U10" s="6">
        <v>880</v>
      </c>
      <c r="V10" s="5">
        <v>30533</v>
      </c>
      <c r="W10" s="5">
        <v>38874</v>
      </c>
      <c r="X10" s="7"/>
      <c r="Y10" s="4"/>
      <c r="Z10" s="4" t="s">
        <v>106</v>
      </c>
      <c r="AA10" s="4" t="s">
        <v>107</v>
      </c>
      <c r="AB10" s="4"/>
      <c r="AC10" s="4" t="s">
        <v>70</v>
      </c>
      <c r="AD10" s="4" t="s">
        <v>42</v>
      </c>
      <c r="AE10" s="4" t="s">
        <v>71</v>
      </c>
      <c r="AF10" s="7"/>
    </row>
    <row r="11" spans="1:32">
      <c r="A11" s="4" t="s">
        <v>108</v>
      </c>
      <c r="B11" s="4" t="s">
        <v>109</v>
      </c>
      <c r="C11" s="4"/>
      <c r="D11" s="4" t="s">
        <v>110</v>
      </c>
      <c r="E11" s="4" t="s">
        <v>36</v>
      </c>
      <c r="F11" s="5">
        <v>44641</v>
      </c>
      <c r="G11" s="4" t="s">
        <v>37</v>
      </c>
      <c r="H11" s="4" t="s">
        <v>38</v>
      </c>
      <c r="I11" s="4" t="s">
        <v>38</v>
      </c>
      <c r="J11" s="6">
        <v>2146.16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16907.73</v>
      </c>
      <c r="Q11" s="6">
        <v>0</v>
      </c>
      <c r="R11" s="6">
        <v>0</v>
      </c>
      <c r="S11" s="6">
        <v>0</v>
      </c>
      <c r="T11" s="6">
        <v>0</v>
      </c>
      <c r="U11" s="6">
        <v>400</v>
      </c>
      <c r="V11" s="5">
        <v>31715</v>
      </c>
      <c r="W11" s="5">
        <v>44641</v>
      </c>
      <c r="X11" s="7"/>
      <c r="Y11" s="4" t="s">
        <v>111</v>
      </c>
      <c r="Z11" s="4" t="s">
        <v>112</v>
      </c>
      <c r="AA11" s="4" t="s">
        <v>113</v>
      </c>
      <c r="AB11" s="4"/>
      <c r="AC11" s="4" t="s">
        <v>114</v>
      </c>
      <c r="AD11" s="4" t="s">
        <v>115</v>
      </c>
      <c r="AE11" s="4" t="s">
        <v>116</v>
      </c>
      <c r="AF11" s="7"/>
    </row>
    <row r="12" spans="1:32">
      <c r="A12" s="4" t="s">
        <v>117</v>
      </c>
      <c r="B12" s="4" t="s">
        <v>118</v>
      </c>
      <c r="C12" s="4"/>
      <c r="D12" s="4" t="s">
        <v>119</v>
      </c>
      <c r="E12" s="4" t="s">
        <v>36</v>
      </c>
      <c r="F12" s="5">
        <v>44658</v>
      </c>
      <c r="G12" s="4" t="s">
        <v>37</v>
      </c>
      <c r="H12" s="4" t="s">
        <v>38</v>
      </c>
      <c r="I12" s="4" t="s">
        <v>38</v>
      </c>
      <c r="J12" s="6">
        <v>4583.33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15570.51</v>
      </c>
      <c r="Q12" s="6">
        <v>0</v>
      </c>
      <c r="R12" s="6">
        <v>0</v>
      </c>
      <c r="S12" s="6">
        <v>0</v>
      </c>
      <c r="T12" s="6">
        <v>0</v>
      </c>
      <c r="U12" s="6">
        <v>216</v>
      </c>
      <c r="V12" s="5">
        <v>31425</v>
      </c>
      <c r="W12" s="5">
        <v>44658</v>
      </c>
      <c r="X12" s="7"/>
      <c r="Y12" s="4" t="s">
        <v>120</v>
      </c>
      <c r="Z12" s="4" t="s">
        <v>121</v>
      </c>
      <c r="AA12" s="4" t="s">
        <v>122</v>
      </c>
      <c r="AB12" s="4"/>
      <c r="AC12" s="4" t="s">
        <v>123</v>
      </c>
      <c r="AD12" s="4" t="s">
        <v>42</v>
      </c>
      <c r="AE12" s="4" t="s">
        <v>124</v>
      </c>
      <c r="AF12" s="7"/>
    </row>
    <row r="13" spans="1:32">
      <c r="A13" s="4" t="s">
        <v>125</v>
      </c>
      <c r="B13" s="4" t="s">
        <v>126</v>
      </c>
      <c r="C13" s="4" t="s">
        <v>46</v>
      </c>
      <c r="D13" s="4" t="s">
        <v>127</v>
      </c>
      <c r="E13" s="4" t="s">
        <v>36</v>
      </c>
      <c r="F13" s="5">
        <v>38152</v>
      </c>
      <c r="G13" s="4" t="s">
        <v>37</v>
      </c>
      <c r="H13" s="4" t="s">
        <v>38</v>
      </c>
      <c r="I13" s="4" t="s">
        <v>38</v>
      </c>
      <c r="J13" s="6">
        <v>15208.23</v>
      </c>
      <c r="K13" s="6">
        <v>0</v>
      </c>
      <c r="L13" s="6">
        <v>1368.74</v>
      </c>
      <c r="M13" s="6">
        <v>0</v>
      </c>
      <c r="N13" s="6">
        <v>456.25</v>
      </c>
      <c r="O13" s="6">
        <v>0</v>
      </c>
      <c r="P13" s="6">
        <v>112175.85</v>
      </c>
      <c r="Q13" s="6">
        <v>0</v>
      </c>
      <c r="R13" s="6">
        <v>8864.7800000000007</v>
      </c>
      <c r="S13" s="6">
        <v>0</v>
      </c>
      <c r="T13" s="6">
        <v>3365.23</v>
      </c>
      <c r="U13" s="6">
        <v>888</v>
      </c>
      <c r="V13" s="5">
        <v>27608</v>
      </c>
      <c r="W13" s="5">
        <v>38152</v>
      </c>
      <c r="X13" s="7"/>
      <c r="Y13" s="4"/>
      <c r="Z13" s="4" t="s">
        <v>128</v>
      </c>
      <c r="AA13" s="4" t="s">
        <v>129</v>
      </c>
      <c r="AB13" s="4"/>
      <c r="AC13" s="4" t="s">
        <v>130</v>
      </c>
      <c r="AD13" s="4" t="s">
        <v>42</v>
      </c>
      <c r="AE13" s="4" t="s">
        <v>131</v>
      </c>
      <c r="AF13" s="7"/>
    </row>
    <row r="14" spans="1:32">
      <c r="A14" s="4" t="s">
        <v>132</v>
      </c>
      <c r="B14" s="4" t="s">
        <v>133</v>
      </c>
      <c r="C14" s="4" t="s">
        <v>66</v>
      </c>
      <c r="D14" s="4" t="s">
        <v>134</v>
      </c>
      <c r="E14" s="4" t="s">
        <v>36</v>
      </c>
      <c r="F14" s="5">
        <v>38614</v>
      </c>
      <c r="G14" s="4" t="s">
        <v>37</v>
      </c>
      <c r="H14" s="4" t="s">
        <v>38</v>
      </c>
      <c r="I14" s="4" t="s">
        <v>38</v>
      </c>
      <c r="J14" s="6">
        <v>2212.2600000000002</v>
      </c>
      <c r="K14" s="6">
        <v>0</v>
      </c>
      <c r="L14" s="6">
        <v>110.61</v>
      </c>
      <c r="M14" s="6">
        <v>0</v>
      </c>
      <c r="N14" s="6">
        <v>66.37</v>
      </c>
      <c r="O14" s="6">
        <v>0</v>
      </c>
      <c r="P14" s="6">
        <v>26520.28</v>
      </c>
      <c r="Q14" s="6">
        <v>0</v>
      </c>
      <c r="R14" s="6">
        <v>1326</v>
      </c>
      <c r="S14" s="6">
        <v>0</v>
      </c>
      <c r="T14" s="6">
        <v>795.6</v>
      </c>
      <c r="U14" s="6">
        <v>915</v>
      </c>
      <c r="V14" s="5">
        <v>24769</v>
      </c>
      <c r="W14" s="5">
        <v>38614</v>
      </c>
      <c r="X14" s="7"/>
      <c r="Y14" s="4"/>
      <c r="Z14" s="4" t="s">
        <v>135</v>
      </c>
      <c r="AA14" s="4" t="s">
        <v>136</v>
      </c>
      <c r="AB14" s="4"/>
      <c r="AC14" s="4" t="s">
        <v>62</v>
      </c>
      <c r="AD14" s="4" t="s">
        <v>42</v>
      </c>
      <c r="AE14" s="4" t="s">
        <v>137</v>
      </c>
      <c r="AF14" s="7"/>
    </row>
    <row r="15" spans="1:32">
      <c r="A15" s="4" t="s">
        <v>138</v>
      </c>
      <c r="B15" s="4" t="s">
        <v>139</v>
      </c>
      <c r="C15" s="4" t="s">
        <v>88</v>
      </c>
      <c r="D15" s="4" t="s">
        <v>140</v>
      </c>
      <c r="E15" s="4" t="s">
        <v>36</v>
      </c>
      <c r="F15" s="5">
        <v>43671</v>
      </c>
      <c r="G15" s="4" t="s">
        <v>37</v>
      </c>
      <c r="H15" s="4" t="s">
        <v>38</v>
      </c>
      <c r="I15" s="4" t="s">
        <v>38</v>
      </c>
      <c r="J15" s="6">
        <v>1492.48</v>
      </c>
      <c r="K15" s="6">
        <v>0</v>
      </c>
      <c r="L15" s="6">
        <v>44.77</v>
      </c>
      <c r="M15" s="6">
        <v>0</v>
      </c>
      <c r="N15" s="6">
        <v>44.77</v>
      </c>
      <c r="O15" s="6">
        <v>0</v>
      </c>
      <c r="P15" s="6">
        <v>21361.360000000001</v>
      </c>
      <c r="Q15" s="6">
        <v>0</v>
      </c>
      <c r="R15" s="6">
        <v>640.84</v>
      </c>
      <c r="S15" s="6">
        <v>0</v>
      </c>
      <c r="T15" s="6">
        <v>640.84</v>
      </c>
      <c r="U15" s="6">
        <v>951.75</v>
      </c>
      <c r="V15" s="5">
        <v>26051</v>
      </c>
      <c r="W15" s="5">
        <v>43671</v>
      </c>
      <c r="X15" s="7"/>
      <c r="Y15" s="4" t="s">
        <v>141</v>
      </c>
      <c r="Z15" s="4" t="s">
        <v>142</v>
      </c>
      <c r="AA15" s="4" t="s">
        <v>143</v>
      </c>
      <c r="AB15" s="4"/>
      <c r="AC15" s="4" t="s">
        <v>62</v>
      </c>
      <c r="AD15" s="4" t="s">
        <v>42</v>
      </c>
      <c r="AE15" s="4" t="s">
        <v>63</v>
      </c>
      <c r="AF15" s="7"/>
    </row>
    <row r="16" spans="1:32">
      <c r="A16" s="4" t="s">
        <v>144</v>
      </c>
      <c r="B16" s="4" t="s">
        <v>145</v>
      </c>
      <c r="C16" s="4" t="s">
        <v>146</v>
      </c>
      <c r="D16" s="4" t="s">
        <v>127</v>
      </c>
      <c r="E16" s="4" t="s">
        <v>58</v>
      </c>
      <c r="F16" s="5">
        <v>44348</v>
      </c>
      <c r="G16" s="4" t="s">
        <v>88</v>
      </c>
      <c r="H16" s="4" t="s">
        <v>38</v>
      </c>
      <c r="I16" s="4" t="s">
        <v>38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5359.94</v>
      </c>
      <c r="Q16" s="6">
        <v>0</v>
      </c>
      <c r="R16" s="6">
        <v>0</v>
      </c>
      <c r="S16" s="6">
        <v>0</v>
      </c>
      <c r="T16" s="6">
        <v>0</v>
      </c>
      <c r="U16" s="6">
        <v>242.75</v>
      </c>
      <c r="V16" s="5">
        <v>37464</v>
      </c>
      <c r="W16" s="5">
        <v>44348</v>
      </c>
      <c r="X16" s="7"/>
      <c r="Y16" s="4"/>
      <c r="Z16" s="4" t="s">
        <v>147</v>
      </c>
      <c r="AA16" s="4" t="s">
        <v>148</v>
      </c>
      <c r="AB16" s="4"/>
      <c r="AC16" s="4" t="s">
        <v>123</v>
      </c>
      <c r="AD16" s="4" t="s">
        <v>42</v>
      </c>
      <c r="AE16" s="4" t="s">
        <v>124</v>
      </c>
      <c r="AF16" s="7"/>
    </row>
    <row r="17" spans="1:32">
      <c r="A17" s="4" t="s">
        <v>149</v>
      </c>
      <c r="B17" s="4" t="s">
        <v>150</v>
      </c>
      <c r="C17" s="4" t="s">
        <v>151</v>
      </c>
      <c r="D17" s="4" t="s">
        <v>35</v>
      </c>
      <c r="E17" s="4" t="s">
        <v>36</v>
      </c>
      <c r="F17" s="5">
        <v>44550</v>
      </c>
      <c r="G17" s="4" t="s">
        <v>146</v>
      </c>
      <c r="H17" s="4" t="s">
        <v>38</v>
      </c>
      <c r="I17" s="4" t="s">
        <v>38</v>
      </c>
      <c r="J17" s="6">
        <v>1329.49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14293.11</v>
      </c>
      <c r="Q17" s="6">
        <v>0</v>
      </c>
      <c r="R17" s="6">
        <v>0</v>
      </c>
      <c r="S17" s="6">
        <v>0</v>
      </c>
      <c r="T17" s="6">
        <v>0</v>
      </c>
      <c r="U17" s="6">
        <v>609.25</v>
      </c>
      <c r="V17" s="5">
        <v>37348</v>
      </c>
      <c r="W17" s="5">
        <v>44550</v>
      </c>
      <c r="X17" s="7"/>
      <c r="Y17" s="4" t="s">
        <v>152</v>
      </c>
      <c r="Z17" s="4" t="s">
        <v>153</v>
      </c>
      <c r="AA17" s="4" t="s">
        <v>40</v>
      </c>
      <c r="AB17" s="4"/>
      <c r="AC17" s="4" t="s">
        <v>41</v>
      </c>
      <c r="AD17" s="4" t="s">
        <v>42</v>
      </c>
      <c r="AE17" s="4" t="s">
        <v>43</v>
      </c>
      <c r="AF17" s="7"/>
    </row>
    <row r="18" spans="1:32">
      <c r="A18" s="4" t="s">
        <v>154</v>
      </c>
      <c r="B18" s="4" t="s">
        <v>155</v>
      </c>
      <c r="C18" s="4" t="s">
        <v>36</v>
      </c>
      <c r="D18" s="4" t="s">
        <v>156</v>
      </c>
      <c r="E18" s="4" t="s">
        <v>104</v>
      </c>
      <c r="F18" s="5">
        <v>39552</v>
      </c>
      <c r="G18" s="4" t="s">
        <v>37</v>
      </c>
      <c r="H18" s="4" t="s">
        <v>38</v>
      </c>
      <c r="I18" s="4" t="s">
        <v>38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53993.38</v>
      </c>
      <c r="Q18" s="6">
        <v>0</v>
      </c>
      <c r="R18" s="6">
        <v>5399.31</v>
      </c>
      <c r="S18" s="6">
        <v>0</v>
      </c>
      <c r="T18" s="6">
        <v>1619.82</v>
      </c>
      <c r="U18" s="6">
        <v>972</v>
      </c>
      <c r="V18" s="5">
        <v>30093</v>
      </c>
      <c r="W18" s="5">
        <v>39552</v>
      </c>
      <c r="X18" s="5">
        <v>44687</v>
      </c>
      <c r="Y18" s="4"/>
      <c r="Z18" s="4" t="s">
        <v>157</v>
      </c>
      <c r="AA18" s="4" t="s">
        <v>158</v>
      </c>
      <c r="AB18" s="4"/>
      <c r="AC18" s="4" t="s">
        <v>62</v>
      </c>
      <c r="AD18" s="4" t="s">
        <v>42</v>
      </c>
      <c r="AE18" s="4" t="s">
        <v>78</v>
      </c>
      <c r="AF18" s="7"/>
    </row>
    <row r="19" spans="1:32">
      <c r="A19" s="4" t="s">
        <v>159</v>
      </c>
      <c r="B19" s="4" t="s">
        <v>160</v>
      </c>
      <c r="C19" s="4" t="s">
        <v>161</v>
      </c>
      <c r="D19" s="4" t="s">
        <v>162</v>
      </c>
      <c r="E19" s="4" t="s">
        <v>36</v>
      </c>
      <c r="F19" s="5">
        <v>44550</v>
      </c>
      <c r="G19" s="4" t="s">
        <v>37</v>
      </c>
      <c r="H19" s="4" t="s">
        <v>38</v>
      </c>
      <c r="I19" s="4" t="s">
        <v>38</v>
      </c>
      <c r="J19" s="6">
        <v>1260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22891.759999999998</v>
      </c>
      <c r="Q19" s="6">
        <v>0</v>
      </c>
      <c r="R19" s="6">
        <v>0</v>
      </c>
      <c r="S19" s="6">
        <v>0</v>
      </c>
      <c r="T19" s="6">
        <v>0</v>
      </c>
      <c r="U19" s="6">
        <v>881.75</v>
      </c>
      <c r="V19" s="5">
        <v>36318</v>
      </c>
      <c r="W19" s="5">
        <v>44550</v>
      </c>
      <c r="X19" s="7"/>
      <c r="Y19" s="4" t="s">
        <v>163</v>
      </c>
      <c r="Z19" s="4" t="s">
        <v>164</v>
      </c>
      <c r="AA19" s="4" t="s">
        <v>165</v>
      </c>
      <c r="AB19" s="4"/>
      <c r="AC19" s="4" t="s">
        <v>62</v>
      </c>
      <c r="AD19" s="4" t="s">
        <v>42</v>
      </c>
      <c r="AE19" s="4" t="s">
        <v>63</v>
      </c>
      <c r="AF19" s="7"/>
    </row>
    <row r="20" spans="1:32">
      <c r="A20" s="4" t="s">
        <v>166</v>
      </c>
      <c r="B20" s="4" t="s">
        <v>167</v>
      </c>
      <c r="C20" s="4" t="s">
        <v>46</v>
      </c>
      <c r="D20" s="4" t="s">
        <v>168</v>
      </c>
      <c r="E20" s="4" t="s">
        <v>36</v>
      </c>
      <c r="F20" s="5">
        <v>44026</v>
      </c>
      <c r="G20" s="4" t="s">
        <v>37</v>
      </c>
      <c r="H20" s="4" t="s">
        <v>38</v>
      </c>
      <c r="I20" s="4" t="s">
        <v>38</v>
      </c>
      <c r="J20" s="6">
        <v>1416.24</v>
      </c>
      <c r="K20" s="6">
        <v>0</v>
      </c>
      <c r="L20" s="6">
        <v>42.49</v>
      </c>
      <c r="M20" s="6">
        <v>0</v>
      </c>
      <c r="N20" s="6">
        <v>42.49</v>
      </c>
      <c r="O20" s="6">
        <v>0</v>
      </c>
      <c r="P20" s="6">
        <v>25632.61</v>
      </c>
      <c r="Q20" s="6">
        <v>0</v>
      </c>
      <c r="R20" s="6">
        <v>769.01</v>
      </c>
      <c r="S20" s="6">
        <v>0</v>
      </c>
      <c r="T20" s="6">
        <v>769.01</v>
      </c>
      <c r="U20" s="6">
        <v>879.75</v>
      </c>
      <c r="V20" s="5">
        <v>31087</v>
      </c>
      <c r="W20" s="5">
        <v>44026</v>
      </c>
      <c r="X20" s="7"/>
      <c r="Y20" s="4"/>
      <c r="Z20" s="4" t="s">
        <v>169</v>
      </c>
      <c r="AA20" s="4" t="s">
        <v>170</v>
      </c>
      <c r="AB20" s="4"/>
      <c r="AC20" s="4" t="s">
        <v>62</v>
      </c>
      <c r="AD20" s="4" t="s">
        <v>42</v>
      </c>
      <c r="AE20" s="4" t="s">
        <v>63</v>
      </c>
      <c r="AF20" s="7"/>
    </row>
    <row r="21" spans="1:32">
      <c r="A21" s="4" t="s">
        <v>171</v>
      </c>
      <c r="B21" s="4" t="s">
        <v>172</v>
      </c>
      <c r="C21" s="4"/>
      <c r="D21" s="4" t="s">
        <v>173</v>
      </c>
      <c r="E21" s="4" t="s">
        <v>36</v>
      </c>
      <c r="F21" s="5">
        <v>44663</v>
      </c>
      <c r="G21" s="4" t="s">
        <v>37</v>
      </c>
      <c r="H21" s="4" t="s">
        <v>38</v>
      </c>
      <c r="I21" s="4" t="s">
        <v>38</v>
      </c>
      <c r="J21" s="6">
        <v>1296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7115.5</v>
      </c>
      <c r="Q21" s="6">
        <v>0</v>
      </c>
      <c r="R21" s="6">
        <v>0</v>
      </c>
      <c r="S21" s="6">
        <v>0</v>
      </c>
      <c r="T21" s="6">
        <v>0</v>
      </c>
      <c r="U21" s="6">
        <v>267.75</v>
      </c>
      <c r="V21" s="5">
        <v>28239</v>
      </c>
      <c r="W21" s="5">
        <v>44663</v>
      </c>
      <c r="X21" s="7"/>
      <c r="Y21" s="4"/>
      <c r="Z21" s="4" t="s">
        <v>174</v>
      </c>
      <c r="AA21" s="4" t="s">
        <v>175</v>
      </c>
      <c r="AB21" s="4"/>
      <c r="AC21" s="4" t="s">
        <v>62</v>
      </c>
      <c r="AD21" s="4" t="s">
        <v>42</v>
      </c>
      <c r="AE21" s="4" t="s">
        <v>137</v>
      </c>
      <c r="AF21" s="7"/>
    </row>
    <row r="22" spans="1:32">
      <c r="A22" s="4" t="s">
        <v>176</v>
      </c>
      <c r="B22" s="4" t="s">
        <v>177</v>
      </c>
      <c r="C22" s="4" t="s">
        <v>178</v>
      </c>
      <c r="D22" s="4" t="s">
        <v>179</v>
      </c>
      <c r="E22" s="4" t="s">
        <v>36</v>
      </c>
      <c r="F22" s="5">
        <v>44326</v>
      </c>
      <c r="G22" s="4" t="s">
        <v>37</v>
      </c>
      <c r="H22" s="4" t="s">
        <v>38</v>
      </c>
      <c r="I22" s="4" t="s">
        <v>38</v>
      </c>
      <c r="J22" s="6">
        <v>1378.8</v>
      </c>
      <c r="K22" s="6">
        <v>0</v>
      </c>
      <c r="L22" s="6">
        <v>0</v>
      </c>
      <c r="M22" s="6">
        <v>41.36</v>
      </c>
      <c r="N22" s="6">
        <v>41.36</v>
      </c>
      <c r="O22" s="6">
        <v>0</v>
      </c>
      <c r="P22" s="6">
        <v>25890.49</v>
      </c>
      <c r="Q22" s="6">
        <v>0</v>
      </c>
      <c r="R22" s="6">
        <v>0</v>
      </c>
      <c r="S22" s="6">
        <v>776.7</v>
      </c>
      <c r="T22" s="6">
        <v>776.7</v>
      </c>
      <c r="U22" s="6">
        <v>875.75</v>
      </c>
      <c r="V22" s="5">
        <v>33686</v>
      </c>
      <c r="W22" s="5">
        <v>44326</v>
      </c>
      <c r="X22" s="7"/>
      <c r="Y22" s="4" t="s">
        <v>180</v>
      </c>
      <c r="Z22" s="4" t="s">
        <v>181</v>
      </c>
      <c r="AA22" s="4" t="s">
        <v>182</v>
      </c>
      <c r="AB22" s="4"/>
      <c r="AC22" s="4" t="s">
        <v>62</v>
      </c>
      <c r="AD22" s="4" t="s">
        <v>42</v>
      </c>
      <c r="AE22" s="4" t="s">
        <v>137</v>
      </c>
      <c r="AF22" s="7"/>
    </row>
    <row r="23" spans="1:32">
      <c r="A23" s="4" t="s">
        <v>183</v>
      </c>
      <c r="B23" s="4" t="s">
        <v>184</v>
      </c>
      <c r="C23" s="4" t="s">
        <v>185</v>
      </c>
      <c r="D23" s="4" t="s">
        <v>186</v>
      </c>
      <c r="E23" s="4" t="s">
        <v>36</v>
      </c>
      <c r="F23" s="5">
        <v>32603</v>
      </c>
      <c r="G23" s="4" t="s">
        <v>37</v>
      </c>
      <c r="H23" s="4" t="s">
        <v>38</v>
      </c>
      <c r="I23" s="4" t="s">
        <v>38</v>
      </c>
      <c r="J23" s="6">
        <v>1490.4</v>
      </c>
      <c r="K23" s="6">
        <v>0</v>
      </c>
      <c r="L23" s="6">
        <v>44.71</v>
      </c>
      <c r="M23" s="6">
        <v>0</v>
      </c>
      <c r="N23" s="6">
        <v>44.71</v>
      </c>
      <c r="O23" s="6">
        <v>0</v>
      </c>
      <c r="P23" s="6">
        <v>29676.55</v>
      </c>
      <c r="Q23" s="6">
        <v>0</v>
      </c>
      <c r="R23" s="6">
        <v>890.29</v>
      </c>
      <c r="S23" s="6">
        <v>0</v>
      </c>
      <c r="T23" s="6">
        <v>890.29</v>
      </c>
      <c r="U23" s="6">
        <v>1000</v>
      </c>
      <c r="V23" s="5">
        <v>19308</v>
      </c>
      <c r="W23" s="5">
        <v>32603</v>
      </c>
      <c r="X23" s="7"/>
      <c r="Y23" s="4" t="s">
        <v>187</v>
      </c>
      <c r="Z23" s="4" t="s">
        <v>188</v>
      </c>
      <c r="AA23" s="4" t="s">
        <v>189</v>
      </c>
      <c r="AB23" s="4"/>
      <c r="AC23" s="4" t="s">
        <v>190</v>
      </c>
      <c r="AD23" s="4" t="s">
        <v>42</v>
      </c>
      <c r="AE23" s="4" t="s">
        <v>191</v>
      </c>
      <c r="AF23" s="7"/>
    </row>
    <row r="24" spans="1:32">
      <c r="A24" s="4" t="s">
        <v>192</v>
      </c>
      <c r="B24" s="4" t="s">
        <v>193</v>
      </c>
      <c r="C24" s="4" t="s">
        <v>178</v>
      </c>
      <c r="D24" s="4" t="s">
        <v>194</v>
      </c>
      <c r="E24" s="4" t="s">
        <v>36</v>
      </c>
      <c r="F24" s="5">
        <v>43374</v>
      </c>
      <c r="G24" s="4" t="s">
        <v>37</v>
      </c>
      <c r="H24" s="4" t="s">
        <v>38</v>
      </c>
      <c r="I24" s="4" t="s">
        <v>38</v>
      </c>
      <c r="J24" s="6">
        <v>1944.86</v>
      </c>
      <c r="K24" s="6">
        <v>0</v>
      </c>
      <c r="L24" s="6">
        <v>0</v>
      </c>
      <c r="M24" s="6">
        <v>58.35</v>
      </c>
      <c r="N24" s="6">
        <v>58.35</v>
      </c>
      <c r="O24" s="6">
        <v>0</v>
      </c>
      <c r="P24" s="6">
        <v>33361.129999999997</v>
      </c>
      <c r="Q24" s="6">
        <v>0</v>
      </c>
      <c r="R24" s="6">
        <v>0</v>
      </c>
      <c r="S24" s="6">
        <v>1000.86</v>
      </c>
      <c r="T24" s="6">
        <v>1000.86</v>
      </c>
      <c r="U24" s="6">
        <v>962</v>
      </c>
      <c r="V24" s="5">
        <v>29216</v>
      </c>
      <c r="W24" s="5">
        <v>43374</v>
      </c>
      <c r="X24" s="7"/>
      <c r="Y24" s="4" t="s">
        <v>195</v>
      </c>
      <c r="Z24" s="4" t="s">
        <v>196</v>
      </c>
      <c r="AA24" s="4" t="s">
        <v>197</v>
      </c>
      <c r="AB24" s="4"/>
      <c r="AC24" s="4" t="s">
        <v>93</v>
      </c>
      <c r="AD24" s="4" t="s">
        <v>42</v>
      </c>
      <c r="AE24" s="4" t="s">
        <v>198</v>
      </c>
      <c r="AF24" s="5">
        <v>43374</v>
      </c>
    </row>
    <row r="25" spans="1:32">
      <c r="A25" s="4" t="s">
        <v>199</v>
      </c>
      <c r="B25" s="4" t="s">
        <v>200</v>
      </c>
      <c r="C25" s="4" t="s">
        <v>46</v>
      </c>
      <c r="D25" s="4" t="s">
        <v>201</v>
      </c>
      <c r="E25" s="4" t="s">
        <v>36</v>
      </c>
      <c r="F25" s="5">
        <v>44348</v>
      </c>
      <c r="G25" s="4" t="s">
        <v>37</v>
      </c>
      <c r="H25" s="4" t="s">
        <v>38</v>
      </c>
      <c r="I25" s="4" t="s">
        <v>38</v>
      </c>
      <c r="J25" s="6">
        <v>1565.28</v>
      </c>
      <c r="K25" s="6">
        <v>0</v>
      </c>
      <c r="L25" s="6">
        <v>0</v>
      </c>
      <c r="M25" s="6">
        <v>156.53</v>
      </c>
      <c r="N25" s="6">
        <v>46.96</v>
      </c>
      <c r="O25" s="6">
        <v>0</v>
      </c>
      <c r="P25" s="6">
        <v>31183.5</v>
      </c>
      <c r="Q25" s="6">
        <v>0</v>
      </c>
      <c r="R25" s="6">
        <v>0</v>
      </c>
      <c r="S25" s="6">
        <v>3118.36</v>
      </c>
      <c r="T25" s="6">
        <v>935.52</v>
      </c>
      <c r="U25" s="6">
        <v>970.25</v>
      </c>
      <c r="V25" s="5">
        <v>23329</v>
      </c>
      <c r="W25" s="5">
        <v>44348</v>
      </c>
      <c r="X25" s="7"/>
      <c r="Y25" s="4"/>
      <c r="Z25" s="4" t="s">
        <v>202</v>
      </c>
      <c r="AA25" s="4" t="s">
        <v>203</v>
      </c>
      <c r="AB25" s="4"/>
      <c r="AC25" s="4" t="s">
        <v>204</v>
      </c>
      <c r="AD25" s="4" t="s">
        <v>42</v>
      </c>
      <c r="AE25" s="4" t="s">
        <v>205</v>
      </c>
      <c r="AF25" s="7"/>
    </row>
    <row r="26" spans="1:32">
      <c r="A26" s="4" t="s">
        <v>206</v>
      </c>
      <c r="B26" s="4" t="s">
        <v>207</v>
      </c>
      <c r="C26" s="4" t="s">
        <v>178</v>
      </c>
      <c r="D26" s="4" t="s">
        <v>208</v>
      </c>
      <c r="E26" s="4" t="s">
        <v>36</v>
      </c>
      <c r="F26" s="5">
        <v>44707</v>
      </c>
      <c r="G26" s="4" t="s">
        <v>37</v>
      </c>
      <c r="H26" s="4" t="s">
        <v>38</v>
      </c>
      <c r="I26" s="4" t="s">
        <v>38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398.44</v>
      </c>
      <c r="Q26" s="6">
        <v>0</v>
      </c>
      <c r="R26" s="6">
        <v>0</v>
      </c>
      <c r="S26" s="6">
        <v>0</v>
      </c>
      <c r="T26" s="6">
        <v>0</v>
      </c>
      <c r="U26" s="6">
        <v>12.75</v>
      </c>
      <c r="V26" s="5">
        <v>23471</v>
      </c>
      <c r="W26" s="5">
        <v>44707</v>
      </c>
      <c r="X26" s="7"/>
      <c r="Y26" s="4" t="s">
        <v>209</v>
      </c>
      <c r="Z26" s="4" t="s">
        <v>210</v>
      </c>
      <c r="AA26" s="4" t="s">
        <v>211</v>
      </c>
      <c r="AB26" s="4"/>
      <c r="AC26" s="4" t="s">
        <v>212</v>
      </c>
      <c r="AD26" s="4" t="s">
        <v>42</v>
      </c>
      <c r="AE26" s="4" t="s">
        <v>213</v>
      </c>
      <c r="AF26" s="7"/>
    </row>
    <row r="27" spans="1:32">
      <c r="A27" s="4" t="s">
        <v>214</v>
      </c>
      <c r="B27" s="4" t="s">
        <v>167</v>
      </c>
      <c r="C27" s="4" t="s">
        <v>66</v>
      </c>
      <c r="D27" s="4" t="s">
        <v>215</v>
      </c>
      <c r="E27" s="4" t="s">
        <v>36</v>
      </c>
      <c r="F27" s="5">
        <v>44515</v>
      </c>
      <c r="G27" s="4" t="s">
        <v>37</v>
      </c>
      <c r="H27" s="4" t="s">
        <v>38</v>
      </c>
      <c r="I27" s="4" t="s">
        <v>38</v>
      </c>
      <c r="J27" s="6">
        <v>1224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21995.45</v>
      </c>
      <c r="Q27" s="6">
        <v>0</v>
      </c>
      <c r="R27" s="6">
        <v>0</v>
      </c>
      <c r="S27" s="6">
        <v>0</v>
      </c>
      <c r="T27" s="6">
        <v>0</v>
      </c>
      <c r="U27" s="6">
        <v>867</v>
      </c>
      <c r="V27" s="5">
        <v>31649</v>
      </c>
      <c r="W27" s="5">
        <v>44515</v>
      </c>
      <c r="X27" s="7"/>
      <c r="Y27" s="4" t="s">
        <v>216</v>
      </c>
      <c r="Z27" s="4" t="s">
        <v>217</v>
      </c>
      <c r="AA27" s="4" t="s">
        <v>218</v>
      </c>
      <c r="AB27" s="4"/>
      <c r="AC27" s="4" t="s">
        <v>62</v>
      </c>
      <c r="AD27" s="4" t="s">
        <v>42</v>
      </c>
      <c r="AE27" s="4" t="s">
        <v>63</v>
      </c>
      <c r="AF27" s="7"/>
    </row>
    <row r="28" spans="1:32">
      <c r="A28" s="4" t="s">
        <v>219</v>
      </c>
      <c r="B28" s="4" t="s">
        <v>220</v>
      </c>
      <c r="C28" s="4" t="s">
        <v>221</v>
      </c>
      <c r="D28" s="4" t="s">
        <v>222</v>
      </c>
      <c r="E28" s="4" t="s">
        <v>36</v>
      </c>
      <c r="F28" s="5">
        <v>43878</v>
      </c>
      <c r="G28" s="4" t="s">
        <v>37</v>
      </c>
      <c r="H28" s="4" t="s">
        <v>38</v>
      </c>
      <c r="I28" s="4" t="s">
        <v>38</v>
      </c>
      <c r="J28" s="6">
        <v>1878.34</v>
      </c>
      <c r="K28" s="6">
        <v>0</v>
      </c>
      <c r="L28" s="6">
        <v>93.92</v>
      </c>
      <c r="M28" s="6">
        <v>0</v>
      </c>
      <c r="N28" s="6">
        <v>56.35</v>
      </c>
      <c r="O28" s="6">
        <v>0</v>
      </c>
      <c r="P28" s="6">
        <v>30961.26</v>
      </c>
      <c r="Q28" s="6">
        <v>0</v>
      </c>
      <c r="R28" s="6">
        <v>1548.08</v>
      </c>
      <c r="S28" s="6">
        <v>0</v>
      </c>
      <c r="T28" s="6">
        <v>928.84</v>
      </c>
      <c r="U28" s="6">
        <v>904.75</v>
      </c>
      <c r="V28" s="5">
        <v>27177</v>
      </c>
      <c r="W28" s="5">
        <v>43878</v>
      </c>
      <c r="X28" s="7"/>
      <c r="Y28" s="4" t="s">
        <v>223</v>
      </c>
      <c r="Z28" s="4" t="s">
        <v>224</v>
      </c>
      <c r="AA28" s="4" t="s">
        <v>225</v>
      </c>
      <c r="AB28" s="4"/>
      <c r="AC28" s="4" t="s">
        <v>62</v>
      </c>
      <c r="AD28" s="4" t="s">
        <v>42</v>
      </c>
      <c r="AE28" s="4" t="s">
        <v>137</v>
      </c>
      <c r="AF28" s="7"/>
    </row>
    <row r="29" spans="1:32">
      <c r="A29" s="4" t="s">
        <v>226</v>
      </c>
      <c r="B29" s="4" t="s">
        <v>227</v>
      </c>
      <c r="C29" s="4" t="s">
        <v>46</v>
      </c>
      <c r="D29" s="4" t="s">
        <v>228</v>
      </c>
      <c r="E29" s="4" t="s">
        <v>36</v>
      </c>
      <c r="F29" s="5">
        <v>44592</v>
      </c>
      <c r="G29" s="4" t="s">
        <v>37</v>
      </c>
      <c r="H29" s="4" t="s">
        <v>38</v>
      </c>
      <c r="I29" s="4" t="s">
        <v>38</v>
      </c>
      <c r="J29" s="6">
        <v>2250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30250</v>
      </c>
      <c r="Q29" s="6">
        <v>0</v>
      </c>
      <c r="R29" s="6">
        <v>0</v>
      </c>
      <c r="S29" s="6">
        <v>0</v>
      </c>
      <c r="T29" s="6">
        <v>0</v>
      </c>
      <c r="U29" s="6">
        <v>680</v>
      </c>
      <c r="V29" s="5">
        <v>24439</v>
      </c>
      <c r="W29" s="5">
        <v>44592</v>
      </c>
      <c r="X29" s="7"/>
      <c r="Y29" s="4" t="s">
        <v>229</v>
      </c>
      <c r="Z29" s="4" t="s">
        <v>230</v>
      </c>
      <c r="AA29" s="4" t="s">
        <v>231</v>
      </c>
      <c r="AB29" s="4"/>
      <c r="AC29" s="4" t="s">
        <v>130</v>
      </c>
      <c r="AD29" s="4" t="s">
        <v>42</v>
      </c>
      <c r="AE29" s="4" t="s">
        <v>131</v>
      </c>
      <c r="AF29" s="7"/>
    </row>
    <row r="30" spans="1:32">
      <c r="A30" s="4" t="s">
        <v>232</v>
      </c>
      <c r="B30" s="4" t="s">
        <v>233</v>
      </c>
      <c r="C30" s="4" t="s">
        <v>46</v>
      </c>
      <c r="D30" s="4" t="s">
        <v>57</v>
      </c>
      <c r="E30" s="4" t="s">
        <v>36</v>
      </c>
      <c r="F30" s="5">
        <v>44607</v>
      </c>
      <c r="G30" s="4" t="s">
        <v>37</v>
      </c>
      <c r="H30" s="4" t="s">
        <v>38</v>
      </c>
      <c r="I30" s="4" t="s">
        <v>38</v>
      </c>
      <c r="J30" s="6">
        <v>1512</v>
      </c>
      <c r="K30" s="6">
        <v>0</v>
      </c>
      <c r="L30" s="6">
        <v>0</v>
      </c>
      <c r="M30" s="6">
        <v>350</v>
      </c>
      <c r="N30" s="6">
        <v>45.36</v>
      </c>
      <c r="O30" s="6">
        <v>0</v>
      </c>
      <c r="P30" s="6">
        <v>17913.009999999998</v>
      </c>
      <c r="Q30" s="6">
        <v>0</v>
      </c>
      <c r="R30" s="6">
        <v>0</v>
      </c>
      <c r="S30" s="6">
        <v>2800</v>
      </c>
      <c r="T30" s="6">
        <v>538.4</v>
      </c>
      <c r="U30" s="6">
        <v>598.5</v>
      </c>
      <c r="V30" s="5">
        <v>24729</v>
      </c>
      <c r="W30" s="5">
        <v>44607</v>
      </c>
      <c r="X30" s="7"/>
      <c r="Y30" s="4" t="s">
        <v>234</v>
      </c>
      <c r="Z30" s="4" t="s">
        <v>235</v>
      </c>
      <c r="AA30" s="4" t="s">
        <v>236</v>
      </c>
      <c r="AB30" s="4"/>
      <c r="AC30" s="4" t="s">
        <v>62</v>
      </c>
      <c r="AD30" s="4" t="s">
        <v>42</v>
      </c>
      <c r="AE30" s="4" t="s">
        <v>63</v>
      </c>
      <c r="AF30" s="5">
        <v>44607</v>
      </c>
    </row>
    <row r="31" spans="1:32">
      <c r="A31" s="4" t="s">
        <v>237</v>
      </c>
      <c r="B31" s="4" t="s">
        <v>238</v>
      </c>
      <c r="C31" s="4" t="s">
        <v>46</v>
      </c>
      <c r="D31" s="4" t="s">
        <v>239</v>
      </c>
      <c r="E31" s="4" t="s">
        <v>36</v>
      </c>
      <c r="F31" s="5">
        <v>42604</v>
      </c>
      <c r="G31" s="4" t="s">
        <v>37</v>
      </c>
      <c r="H31" s="4" t="s">
        <v>38</v>
      </c>
      <c r="I31" s="4" t="s">
        <v>38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49388.53</v>
      </c>
      <c r="Q31" s="6">
        <v>0</v>
      </c>
      <c r="R31" s="6">
        <v>3951.05</v>
      </c>
      <c r="S31" s="6">
        <v>0</v>
      </c>
      <c r="T31" s="6">
        <v>1481.7</v>
      </c>
      <c r="U31" s="6">
        <v>904</v>
      </c>
      <c r="V31" s="5">
        <v>25894</v>
      </c>
      <c r="W31" s="5">
        <v>42604</v>
      </c>
      <c r="X31" s="7"/>
      <c r="Y31" s="4" t="s">
        <v>240</v>
      </c>
      <c r="Z31" s="4" t="s">
        <v>241</v>
      </c>
      <c r="AA31" s="4" t="s">
        <v>242</v>
      </c>
      <c r="AB31" s="4"/>
      <c r="AC31" s="4" t="s">
        <v>243</v>
      </c>
      <c r="AD31" s="4" t="s">
        <v>42</v>
      </c>
      <c r="AE31" s="4" t="s">
        <v>244</v>
      </c>
      <c r="AF31" s="7"/>
    </row>
    <row r="32" spans="1:32">
      <c r="A32" s="4" t="s">
        <v>245</v>
      </c>
      <c r="B32" s="4" t="s">
        <v>246</v>
      </c>
      <c r="C32" s="4" t="s">
        <v>247</v>
      </c>
      <c r="D32" s="4" t="s">
        <v>248</v>
      </c>
      <c r="E32" s="4" t="s">
        <v>36</v>
      </c>
      <c r="F32" s="5">
        <v>42730</v>
      </c>
      <c r="G32" s="4" t="s">
        <v>37</v>
      </c>
      <c r="H32" s="4" t="s">
        <v>38</v>
      </c>
      <c r="I32" s="4" t="s">
        <v>38</v>
      </c>
      <c r="J32" s="6">
        <v>2212.2600000000002</v>
      </c>
      <c r="K32" s="6">
        <v>0</v>
      </c>
      <c r="L32" s="6">
        <v>66.37</v>
      </c>
      <c r="M32" s="6">
        <v>0</v>
      </c>
      <c r="N32" s="6">
        <v>66.37</v>
      </c>
      <c r="O32" s="6">
        <v>0</v>
      </c>
      <c r="P32" s="6">
        <v>35356.69</v>
      </c>
      <c r="Q32" s="6">
        <v>0</v>
      </c>
      <c r="R32" s="6">
        <v>1060.71</v>
      </c>
      <c r="S32" s="6">
        <v>0</v>
      </c>
      <c r="T32" s="6">
        <v>1060.71</v>
      </c>
      <c r="U32" s="6">
        <v>1065.25</v>
      </c>
      <c r="V32" s="5">
        <v>29768</v>
      </c>
      <c r="W32" s="5">
        <v>42730</v>
      </c>
      <c r="X32" s="7"/>
      <c r="Y32" s="4" t="s">
        <v>249</v>
      </c>
      <c r="Z32" s="4" t="s">
        <v>250</v>
      </c>
      <c r="AA32" s="4" t="s">
        <v>251</v>
      </c>
      <c r="AB32" s="4"/>
      <c r="AC32" s="4" t="s">
        <v>252</v>
      </c>
      <c r="AD32" s="4" t="s">
        <v>42</v>
      </c>
      <c r="AE32" s="4" t="s">
        <v>253</v>
      </c>
      <c r="AF32" s="7"/>
    </row>
    <row r="33" spans="1:32">
      <c r="A33" s="4" t="s">
        <v>254</v>
      </c>
      <c r="B33" s="4" t="s">
        <v>255</v>
      </c>
      <c r="C33" s="4" t="s">
        <v>58</v>
      </c>
      <c r="D33" s="4" t="s">
        <v>256</v>
      </c>
      <c r="E33" s="4" t="s">
        <v>36</v>
      </c>
      <c r="F33" s="5">
        <v>41981</v>
      </c>
      <c r="G33" s="4" t="s">
        <v>37</v>
      </c>
      <c r="H33" s="4" t="s">
        <v>38</v>
      </c>
      <c r="I33" s="4" t="s">
        <v>38</v>
      </c>
      <c r="J33" s="6">
        <v>1843.55</v>
      </c>
      <c r="K33" s="6">
        <v>0</v>
      </c>
      <c r="L33" s="6">
        <v>73.739999999999995</v>
      </c>
      <c r="M33" s="6">
        <v>36.869999999999997</v>
      </c>
      <c r="N33" s="6">
        <v>55.31</v>
      </c>
      <c r="O33" s="6">
        <v>0</v>
      </c>
      <c r="P33" s="6">
        <v>29816.74</v>
      </c>
      <c r="Q33" s="6">
        <v>0</v>
      </c>
      <c r="R33" s="6">
        <v>1192.68</v>
      </c>
      <c r="S33" s="6">
        <v>596.35</v>
      </c>
      <c r="T33" s="6">
        <v>894.52</v>
      </c>
      <c r="U33" s="6">
        <v>950</v>
      </c>
      <c r="V33" s="5">
        <v>26253</v>
      </c>
      <c r="W33" s="5">
        <v>41981</v>
      </c>
      <c r="X33" s="7"/>
      <c r="Y33" s="4" t="s">
        <v>257</v>
      </c>
      <c r="Z33" s="4" t="s">
        <v>258</v>
      </c>
      <c r="AA33" s="4" t="s">
        <v>259</v>
      </c>
      <c r="AB33" s="4"/>
      <c r="AC33" s="4" t="s">
        <v>260</v>
      </c>
      <c r="AD33" s="4" t="s">
        <v>42</v>
      </c>
      <c r="AE33" s="4" t="s">
        <v>261</v>
      </c>
      <c r="AF33" s="7"/>
    </row>
    <row r="34" spans="1:32">
      <c r="A34" s="4" t="s">
        <v>262</v>
      </c>
      <c r="B34" s="4" t="s">
        <v>150</v>
      </c>
      <c r="C34" s="4" t="s">
        <v>88</v>
      </c>
      <c r="D34" s="4" t="s">
        <v>263</v>
      </c>
      <c r="E34" s="4" t="s">
        <v>36</v>
      </c>
      <c r="F34" s="5">
        <v>44130</v>
      </c>
      <c r="G34" s="4" t="s">
        <v>37</v>
      </c>
      <c r="H34" s="4" t="s">
        <v>38</v>
      </c>
      <c r="I34" s="4" t="s">
        <v>38</v>
      </c>
      <c r="J34" s="6">
        <v>1492.48</v>
      </c>
      <c r="K34" s="6">
        <v>0</v>
      </c>
      <c r="L34" s="6">
        <v>0</v>
      </c>
      <c r="M34" s="6">
        <v>44.77</v>
      </c>
      <c r="N34" s="6">
        <v>44.77</v>
      </c>
      <c r="O34" s="6">
        <v>0</v>
      </c>
      <c r="P34" s="6">
        <v>23782.2</v>
      </c>
      <c r="Q34" s="6">
        <v>0</v>
      </c>
      <c r="R34" s="6">
        <v>0</v>
      </c>
      <c r="S34" s="6">
        <v>713.48</v>
      </c>
      <c r="T34" s="6">
        <v>713.48</v>
      </c>
      <c r="U34" s="6">
        <v>934.75</v>
      </c>
      <c r="V34" s="5">
        <v>33890</v>
      </c>
      <c r="W34" s="5">
        <v>44130</v>
      </c>
      <c r="X34" s="7"/>
      <c r="Y34" s="4"/>
      <c r="Z34" s="4" t="s">
        <v>264</v>
      </c>
      <c r="AA34" s="4" t="s">
        <v>265</v>
      </c>
      <c r="AB34" s="4"/>
      <c r="AC34" s="4" t="s">
        <v>252</v>
      </c>
      <c r="AD34" s="4" t="s">
        <v>42</v>
      </c>
      <c r="AE34" s="4" t="s">
        <v>266</v>
      </c>
      <c r="AF34" s="7"/>
    </row>
    <row r="35" spans="1:32">
      <c r="A35" s="4" t="s">
        <v>267</v>
      </c>
      <c r="B35" s="4" t="s">
        <v>268</v>
      </c>
      <c r="C35" s="4" t="s">
        <v>66</v>
      </c>
      <c r="D35" s="4" t="s">
        <v>269</v>
      </c>
      <c r="E35" s="4" t="s">
        <v>36</v>
      </c>
      <c r="F35" s="5">
        <v>44270</v>
      </c>
      <c r="G35" s="4" t="s">
        <v>37</v>
      </c>
      <c r="H35" s="4" t="s">
        <v>38</v>
      </c>
      <c r="I35" s="4" t="s">
        <v>38</v>
      </c>
      <c r="J35" s="6">
        <v>1404.29</v>
      </c>
      <c r="K35" s="6">
        <v>0</v>
      </c>
      <c r="L35" s="6">
        <v>42.13</v>
      </c>
      <c r="M35" s="6">
        <v>0</v>
      </c>
      <c r="N35" s="6">
        <v>42.13</v>
      </c>
      <c r="O35" s="6">
        <v>0</v>
      </c>
      <c r="P35" s="6">
        <v>22608.99</v>
      </c>
      <c r="Q35" s="6">
        <v>0</v>
      </c>
      <c r="R35" s="6">
        <v>678.28</v>
      </c>
      <c r="S35" s="6">
        <v>0</v>
      </c>
      <c r="T35" s="6">
        <v>678.28</v>
      </c>
      <c r="U35" s="6">
        <v>945</v>
      </c>
      <c r="V35" s="5">
        <v>24364</v>
      </c>
      <c r="W35" s="5">
        <v>44270</v>
      </c>
      <c r="X35" s="7"/>
      <c r="Y35" s="4"/>
      <c r="Z35" s="4" t="s">
        <v>270</v>
      </c>
      <c r="AA35" s="4" t="s">
        <v>271</v>
      </c>
      <c r="AB35" s="4"/>
      <c r="AC35" s="4" t="s">
        <v>252</v>
      </c>
      <c r="AD35" s="4" t="s">
        <v>42</v>
      </c>
      <c r="AE35" s="4" t="s">
        <v>272</v>
      </c>
      <c r="AF35" s="7"/>
    </row>
    <row r="36" spans="1:32">
      <c r="A36" s="4" t="s">
        <v>273</v>
      </c>
      <c r="B36" s="4" t="s">
        <v>274</v>
      </c>
      <c r="C36" s="4"/>
      <c r="D36" s="4" t="s">
        <v>275</v>
      </c>
      <c r="E36" s="4" t="s">
        <v>36</v>
      </c>
      <c r="F36" s="5">
        <v>44684</v>
      </c>
      <c r="G36" s="4" t="s">
        <v>37</v>
      </c>
      <c r="H36" s="4" t="s">
        <v>38</v>
      </c>
      <c r="I36" s="4" t="s">
        <v>38</v>
      </c>
      <c r="J36" s="6">
        <v>1356.8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4508.8</v>
      </c>
      <c r="Q36" s="6">
        <v>0</v>
      </c>
      <c r="R36" s="6">
        <v>0</v>
      </c>
      <c r="S36" s="6">
        <v>0</v>
      </c>
      <c r="T36" s="6">
        <v>0</v>
      </c>
      <c r="U36" s="6">
        <v>184.25</v>
      </c>
      <c r="V36" s="5">
        <v>28079</v>
      </c>
      <c r="W36" s="5">
        <v>44684</v>
      </c>
      <c r="X36" s="7"/>
      <c r="Y36" s="4" t="s">
        <v>38</v>
      </c>
      <c r="Z36" s="4" t="s">
        <v>276</v>
      </c>
      <c r="AA36" s="4" t="s">
        <v>277</v>
      </c>
      <c r="AB36" s="4"/>
      <c r="AC36" s="4" t="s">
        <v>252</v>
      </c>
      <c r="AD36" s="4" t="s">
        <v>42</v>
      </c>
      <c r="AE36" s="4" t="s">
        <v>278</v>
      </c>
      <c r="AF36" s="7"/>
    </row>
    <row r="37" spans="1:32">
      <c r="A37" s="4" t="s">
        <v>279</v>
      </c>
      <c r="B37" s="4" t="s">
        <v>33</v>
      </c>
      <c r="C37" s="4" t="s">
        <v>104</v>
      </c>
      <c r="D37" s="4" t="s">
        <v>280</v>
      </c>
      <c r="E37" s="4" t="s">
        <v>36</v>
      </c>
      <c r="F37" s="5">
        <v>42947</v>
      </c>
      <c r="G37" s="4" t="s">
        <v>37</v>
      </c>
      <c r="H37" s="4" t="s">
        <v>38</v>
      </c>
      <c r="I37" s="4" t="s">
        <v>38</v>
      </c>
      <c r="J37" s="6">
        <v>1492.48</v>
      </c>
      <c r="K37" s="6">
        <v>0</v>
      </c>
      <c r="L37" s="6">
        <v>44.77</v>
      </c>
      <c r="M37" s="6">
        <v>0</v>
      </c>
      <c r="N37" s="6">
        <v>44.77</v>
      </c>
      <c r="O37" s="6">
        <v>0</v>
      </c>
      <c r="P37" s="6">
        <v>27071.65</v>
      </c>
      <c r="Q37" s="6">
        <v>0</v>
      </c>
      <c r="R37" s="6">
        <v>812.15</v>
      </c>
      <c r="S37" s="6">
        <v>0</v>
      </c>
      <c r="T37" s="6">
        <v>812.15</v>
      </c>
      <c r="U37" s="6">
        <v>987</v>
      </c>
      <c r="V37" s="5">
        <v>26980</v>
      </c>
      <c r="W37" s="5">
        <v>42947</v>
      </c>
      <c r="X37" s="7"/>
      <c r="Y37" s="4" t="s">
        <v>281</v>
      </c>
      <c r="Z37" s="4" t="s">
        <v>282</v>
      </c>
      <c r="AA37" s="4" t="s">
        <v>283</v>
      </c>
      <c r="AB37" s="4"/>
      <c r="AC37" s="4" t="s">
        <v>243</v>
      </c>
      <c r="AD37" s="4" t="s">
        <v>42</v>
      </c>
      <c r="AE37" s="4" t="s">
        <v>244</v>
      </c>
      <c r="AF37" s="7"/>
    </row>
    <row r="38" spans="1:32">
      <c r="A38" s="4" t="s">
        <v>284</v>
      </c>
      <c r="B38" s="4" t="s">
        <v>285</v>
      </c>
      <c r="C38" s="4" t="s">
        <v>178</v>
      </c>
      <c r="D38" s="4" t="s">
        <v>96</v>
      </c>
      <c r="E38" s="4" t="s">
        <v>36</v>
      </c>
      <c r="F38" s="5">
        <v>42398</v>
      </c>
      <c r="G38" s="4" t="s">
        <v>37</v>
      </c>
      <c r="H38" s="4" t="s">
        <v>38</v>
      </c>
      <c r="I38" s="4" t="s">
        <v>38</v>
      </c>
      <c r="J38" s="6">
        <v>12086.74</v>
      </c>
      <c r="K38" s="6">
        <v>0</v>
      </c>
      <c r="L38" s="6">
        <v>483.47</v>
      </c>
      <c r="M38" s="6">
        <v>0</v>
      </c>
      <c r="N38" s="6">
        <v>362.6</v>
      </c>
      <c r="O38" s="6">
        <v>0</v>
      </c>
      <c r="P38" s="6">
        <v>71019.28</v>
      </c>
      <c r="Q38" s="6">
        <v>0</v>
      </c>
      <c r="R38" s="6">
        <v>2840.77</v>
      </c>
      <c r="S38" s="6">
        <v>0</v>
      </c>
      <c r="T38" s="6">
        <v>2130.5500000000002</v>
      </c>
      <c r="U38" s="6">
        <v>904</v>
      </c>
      <c r="V38" s="5">
        <v>33425</v>
      </c>
      <c r="W38" s="5">
        <v>42398</v>
      </c>
      <c r="X38" s="7"/>
      <c r="Y38" s="4" t="s">
        <v>286</v>
      </c>
      <c r="Z38" s="4" t="s">
        <v>287</v>
      </c>
      <c r="AA38" s="4" t="s">
        <v>99</v>
      </c>
      <c r="AB38" s="4"/>
      <c r="AC38" s="4" t="s">
        <v>100</v>
      </c>
      <c r="AD38" s="4" t="s">
        <v>42</v>
      </c>
      <c r="AE38" s="4" t="s">
        <v>101</v>
      </c>
      <c r="AF38" s="7"/>
    </row>
    <row r="39" spans="1:32">
      <c r="A39" s="4" t="s">
        <v>288</v>
      </c>
      <c r="B39" s="4" t="s">
        <v>289</v>
      </c>
      <c r="C39" s="4" t="s">
        <v>34</v>
      </c>
      <c r="D39" s="4" t="s">
        <v>290</v>
      </c>
      <c r="E39" s="4" t="s">
        <v>104</v>
      </c>
      <c r="F39" s="5">
        <v>44585</v>
      </c>
      <c r="G39" s="4" t="s">
        <v>37</v>
      </c>
      <c r="H39" s="4" t="s">
        <v>38</v>
      </c>
      <c r="I39" s="4" t="s">
        <v>38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342</v>
      </c>
      <c r="Q39" s="6">
        <v>0</v>
      </c>
      <c r="R39" s="6">
        <v>0</v>
      </c>
      <c r="S39" s="6">
        <v>0</v>
      </c>
      <c r="T39" s="6">
        <v>0</v>
      </c>
      <c r="U39" s="6">
        <v>19</v>
      </c>
      <c r="V39" s="5">
        <v>28524</v>
      </c>
      <c r="W39" s="5">
        <v>44585</v>
      </c>
      <c r="X39" s="5">
        <v>44589</v>
      </c>
      <c r="Y39" s="4" t="s">
        <v>291</v>
      </c>
      <c r="Z39" s="4" t="s">
        <v>292</v>
      </c>
      <c r="AA39" s="4" t="s">
        <v>293</v>
      </c>
      <c r="AB39" s="4"/>
      <c r="AC39" s="4" t="s">
        <v>252</v>
      </c>
      <c r="AD39" s="4" t="s">
        <v>42</v>
      </c>
      <c r="AE39" s="4" t="s">
        <v>294</v>
      </c>
      <c r="AF39" s="7"/>
    </row>
    <row r="40" spans="1:32">
      <c r="A40" s="4" t="s">
        <v>295</v>
      </c>
      <c r="B40" s="4" t="s">
        <v>296</v>
      </c>
      <c r="C40" s="4" t="s">
        <v>297</v>
      </c>
      <c r="D40" s="4" t="s">
        <v>298</v>
      </c>
      <c r="E40" s="4" t="s">
        <v>36</v>
      </c>
      <c r="F40" s="5">
        <v>44613</v>
      </c>
      <c r="G40" s="4" t="s">
        <v>37</v>
      </c>
      <c r="H40" s="4" t="s">
        <v>38</v>
      </c>
      <c r="I40" s="4" t="s">
        <v>38</v>
      </c>
      <c r="J40" s="6">
        <v>1526.4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15909.75</v>
      </c>
      <c r="Q40" s="6">
        <v>0</v>
      </c>
      <c r="R40" s="6">
        <v>0</v>
      </c>
      <c r="S40" s="6">
        <v>0</v>
      </c>
      <c r="T40" s="6">
        <v>0</v>
      </c>
      <c r="U40" s="6">
        <v>637.25</v>
      </c>
      <c r="V40" s="5">
        <v>27147</v>
      </c>
      <c r="W40" s="5">
        <v>44613</v>
      </c>
      <c r="X40" s="7"/>
      <c r="Y40" s="4" t="s">
        <v>299</v>
      </c>
      <c r="Z40" s="4" t="s">
        <v>300</v>
      </c>
      <c r="AA40" s="4" t="s">
        <v>301</v>
      </c>
      <c r="AB40" s="4" t="s">
        <v>302</v>
      </c>
      <c r="AC40" s="4" t="s">
        <v>252</v>
      </c>
      <c r="AD40" s="4" t="s">
        <v>42</v>
      </c>
      <c r="AE40" s="4" t="s">
        <v>303</v>
      </c>
      <c r="AF40" s="7"/>
    </row>
    <row r="41" spans="1:32">
      <c r="A41" s="4" t="s">
        <v>304</v>
      </c>
      <c r="B41" s="4" t="s">
        <v>45</v>
      </c>
      <c r="C41" s="4" t="s">
        <v>151</v>
      </c>
      <c r="D41" s="4" t="s">
        <v>305</v>
      </c>
      <c r="E41" s="4" t="s">
        <v>36</v>
      </c>
      <c r="F41" s="5">
        <v>44225</v>
      </c>
      <c r="G41" s="4" t="s">
        <v>37</v>
      </c>
      <c r="H41" s="4" t="s">
        <v>38</v>
      </c>
      <c r="I41" s="4" t="s">
        <v>38</v>
      </c>
      <c r="J41" s="6">
        <v>1404.29</v>
      </c>
      <c r="K41" s="6">
        <v>0</v>
      </c>
      <c r="L41" s="6">
        <v>42.13</v>
      </c>
      <c r="M41" s="6">
        <v>0</v>
      </c>
      <c r="N41" s="6">
        <v>42.13</v>
      </c>
      <c r="O41" s="6">
        <v>0</v>
      </c>
      <c r="P41" s="6">
        <v>22464.09</v>
      </c>
      <c r="Q41" s="6">
        <v>0</v>
      </c>
      <c r="R41" s="6">
        <v>673.91</v>
      </c>
      <c r="S41" s="6">
        <v>0</v>
      </c>
      <c r="T41" s="6">
        <v>673.91</v>
      </c>
      <c r="U41" s="6">
        <v>938.5</v>
      </c>
      <c r="V41" s="5">
        <v>36266</v>
      </c>
      <c r="W41" s="5">
        <v>44225</v>
      </c>
      <c r="X41" s="7"/>
      <c r="Y41" s="4"/>
      <c r="Z41" s="4" t="s">
        <v>306</v>
      </c>
      <c r="AA41" s="4" t="s">
        <v>307</v>
      </c>
      <c r="AB41" s="4"/>
      <c r="AC41" s="4" t="s">
        <v>308</v>
      </c>
      <c r="AD41" s="4" t="s">
        <v>42</v>
      </c>
      <c r="AE41" s="4" t="s">
        <v>244</v>
      </c>
      <c r="AF41" s="7"/>
    </row>
    <row r="42" spans="1:32">
      <c r="A42" s="4" t="s">
        <v>309</v>
      </c>
      <c r="B42" s="4" t="s">
        <v>310</v>
      </c>
      <c r="C42" s="4"/>
      <c r="D42" s="4" t="s">
        <v>311</v>
      </c>
      <c r="E42" s="4" t="s">
        <v>36</v>
      </c>
      <c r="F42" s="5">
        <v>44697</v>
      </c>
      <c r="G42" s="4" t="s">
        <v>37</v>
      </c>
      <c r="H42" s="4" t="s">
        <v>38</v>
      </c>
      <c r="I42" s="4" t="s">
        <v>38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3076.93</v>
      </c>
      <c r="Q42" s="6">
        <v>0</v>
      </c>
      <c r="R42" s="6">
        <v>0</v>
      </c>
      <c r="S42" s="6">
        <v>0</v>
      </c>
      <c r="T42" s="6">
        <v>0</v>
      </c>
      <c r="U42" s="6">
        <v>80</v>
      </c>
      <c r="V42" s="5">
        <v>29203</v>
      </c>
      <c r="W42" s="5">
        <v>44697</v>
      </c>
      <c r="X42" s="7"/>
      <c r="Y42" s="4"/>
      <c r="Z42" s="4" t="s">
        <v>312</v>
      </c>
      <c r="AA42" s="4" t="s">
        <v>313</v>
      </c>
      <c r="AB42" s="4"/>
      <c r="AC42" s="4" t="s">
        <v>314</v>
      </c>
      <c r="AD42" s="4" t="s">
        <v>42</v>
      </c>
      <c r="AE42" s="4" t="s">
        <v>315</v>
      </c>
      <c r="AF42" s="7"/>
    </row>
    <row r="43" spans="1:32">
      <c r="A43" s="4" t="s">
        <v>316</v>
      </c>
      <c r="B43" s="4" t="s">
        <v>317</v>
      </c>
      <c r="C43" s="4" t="s">
        <v>185</v>
      </c>
      <c r="D43" s="4" t="s">
        <v>318</v>
      </c>
      <c r="E43" s="4" t="s">
        <v>36</v>
      </c>
      <c r="F43" s="5">
        <v>41113</v>
      </c>
      <c r="G43" s="4" t="s">
        <v>37</v>
      </c>
      <c r="H43" s="4" t="s">
        <v>38</v>
      </c>
      <c r="I43" s="4" t="s">
        <v>38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108692.27</v>
      </c>
      <c r="Q43" s="6">
        <v>0</v>
      </c>
      <c r="R43" s="6">
        <v>12330</v>
      </c>
      <c r="S43" s="6">
        <v>0</v>
      </c>
      <c r="T43" s="6">
        <v>3144.27</v>
      </c>
      <c r="U43" s="6">
        <v>880</v>
      </c>
      <c r="V43" s="5">
        <v>24220</v>
      </c>
      <c r="W43" s="5">
        <v>41113</v>
      </c>
      <c r="X43" s="7"/>
      <c r="Y43" s="4" t="s">
        <v>319</v>
      </c>
      <c r="Z43" s="4" t="s">
        <v>320</v>
      </c>
      <c r="AA43" s="4" t="s">
        <v>321</v>
      </c>
      <c r="AB43" s="4"/>
      <c r="AC43" s="4" t="s">
        <v>322</v>
      </c>
      <c r="AD43" s="4" t="s">
        <v>42</v>
      </c>
      <c r="AE43" s="4" t="s">
        <v>323</v>
      </c>
      <c r="AF43" s="7"/>
    </row>
    <row r="44" spans="1:32">
      <c r="A44" s="4" t="s">
        <v>324</v>
      </c>
      <c r="B44" s="4" t="s">
        <v>325</v>
      </c>
      <c r="C44" s="4" t="s">
        <v>46</v>
      </c>
      <c r="D44" s="4" t="s">
        <v>326</v>
      </c>
      <c r="E44" s="4" t="s">
        <v>36</v>
      </c>
      <c r="F44" s="5">
        <v>44613</v>
      </c>
      <c r="G44" s="4" t="s">
        <v>37</v>
      </c>
      <c r="H44" s="4" t="s">
        <v>38</v>
      </c>
      <c r="I44" s="4" t="s">
        <v>38</v>
      </c>
      <c r="J44" s="6">
        <v>1696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16396.5</v>
      </c>
      <c r="Q44" s="6">
        <v>0</v>
      </c>
      <c r="R44" s="6">
        <v>0</v>
      </c>
      <c r="S44" s="6">
        <v>0</v>
      </c>
      <c r="T44" s="6">
        <v>0</v>
      </c>
      <c r="U44" s="6">
        <v>593</v>
      </c>
      <c r="V44" s="5">
        <v>29440</v>
      </c>
      <c r="W44" s="5">
        <v>44613</v>
      </c>
      <c r="X44" s="7"/>
      <c r="Y44" s="4" t="s">
        <v>327</v>
      </c>
      <c r="Z44" s="4" t="s">
        <v>328</v>
      </c>
      <c r="AA44" s="4" t="s">
        <v>329</v>
      </c>
      <c r="AB44" s="4"/>
      <c r="AC44" s="4" t="s">
        <v>330</v>
      </c>
      <c r="AD44" s="4" t="s">
        <v>42</v>
      </c>
      <c r="AE44" s="4" t="s">
        <v>331</v>
      </c>
      <c r="AF44" s="7"/>
    </row>
    <row r="45" spans="1:32">
      <c r="A45" s="4" t="s">
        <v>332</v>
      </c>
      <c r="B45" s="4" t="s">
        <v>33</v>
      </c>
      <c r="C45" s="4" t="s">
        <v>88</v>
      </c>
      <c r="D45" s="4" t="s">
        <v>333</v>
      </c>
      <c r="E45" s="4" t="s">
        <v>36</v>
      </c>
      <c r="F45" s="5">
        <v>42167</v>
      </c>
      <c r="G45" s="4" t="s">
        <v>37</v>
      </c>
      <c r="H45" s="4" t="s">
        <v>38</v>
      </c>
      <c r="I45" s="4" t="s">
        <v>38</v>
      </c>
      <c r="J45" s="6">
        <v>1623.92</v>
      </c>
      <c r="K45" s="6">
        <v>0</v>
      </c>
      <c r="L45" s="6">
        <v>48.72</v>
      </c>
      <c r="M45" s="6">
        <v>0</v>
      </c>
      <c r="N45" s="6">
        <v>48.72</v>
      </c>
      <c r="O45" s="6">
        <v>0</v>
      </c>
      <c r="P45" s="6">
        <v>8687.8799999999992</v>
      </c>
      <c r="Q45" s="6">
        <v>0</v>
      </c>
      <c r="R45" s="6">
        <v>260.63</v>
      </c>
      <c r="S45" s="6">
        <v>0</v>
      </c>
      <c r="T45" s="6">
        <v>260.63</v>
      </c>
      <c r="U45" s="6">
        <v>282</v>
      </c>
      <c r="V45" s="5">
        <v>27400</v>
      </c>
      <c r="W45" s="5">
        <v>42167</v>
      </c>
      <c r="X45" s="7"/>
      <c r="Y45" s="4" t="s">
        <v>334</v>
      </c>
      <c r="Z45" s="4" t="s">
        <v>335</v>
      </c>
      <c r="AA45" s="4" t="s">
        <v>336</v>
      </c>
      <c r="AB45" s="4"/>
      <c r="AC45" s="4" t="s">
        <v>322</v>
      </c>
      <c r="AD45" s="4" t="s">
        <v>42</v>
      </c>
      <c r="AE45" s="4" t="s">
        <v>323</v>
      </c>
      <c r="AF45" s="7"/>
    </row>
    <row r="46" spans="1:32">
      <c r="A46" s="4" t="s">
        <v>337</v>
      </c>
      <c r="B46" s="4" t="s">
        <v>338</v>
      </c>
      <c r="C46" s="4" t="s">
        <v>34</v>
      </c>
      <c r="D46" s="4" t="s">
        <v>339</v>
      </c>
      <c r="E46" s="4" t="s">
        <v>36</v>
      </c>
      <c r="F46" s="5">
        <v>44361</v>
      </c>
      <c r="G46" s="4" t="s">
        <v>37</v>
      </c>
      <c r="H46" s="4" t="s">
        <v>38</v>
      </c>
      <c r="I46" s="4" t="s">
        <v>38</v>
      </c>
      <c r="J46" s="6">
        <v>1404.29</v>
      </c>
      <c r="K46" s="6">
        <v>0</v>
      </c>
      <c r="L46" s="6">
        <v>42.13</v>
      </c>
      <c r="M46" s="6">
        <v>0</v>
      </c>
      <c r="N46" s="6">
        <v>42.13</v>
      </c>
      <c r="O46" s="6">
        <v>0</v>
      </c>
      <c r="P46" s="6">
        <v>21164.58</v>
      </c>
      <c r="Q46" s="6">
        <v>0</v>
      </c>
      <c r="R46" s="6">
        <v>626.5</v>
      </c>
      <c r="S46" s="6">
        <v>0</v>
      </c>
      <c r="T46" s="6">
        <v>634.95000000000005</v>
      </c>
      <c r="U46" s="6">
        <v>925.75</v>
      </c>
      <c r="V46" s="5">
        <v>29644</v>
      </c>
      <c r="W46" s="5">
        <v>44361</v>
      </c>
      <c r="X46" s="7"/>
      <c r="Y46" s="4" t="s">
        <v>340</v>
      </c>
      <c r="Z46" s="4" t="s">
        <v>341</v>
      </c>
      <c r="AA46" s="4" t="s">
        <v>342</v>
      </c>
      <c r="AB46" s="4"/>
      <c r="AC46" s="4" t="s">
        <v>343</v>
      </c>
      <c r="AD46" s="4" t="s">
        <v>42</v>
      </c>
      <c r="AE46" s="4" t="s">
        <v>344</v>
      </c>
      <c r="AF46" s="7"/>
    </row>
    <row r="47" spans="1:32">
      <c r="A47" s="4" t="s">
        <v>345</v>
      </c>
      <c r="B47" s="4" t="s">
        <v>346</v>
      </c>
      <c r="C47" s="4" t="s">
        <v>66</v>
      </c>
      <c r="D47" s="4" t="s">
        <v>347</v>
      </c>
      <c r="E47" s="4" t="s">
        <v>36</v>
      </c>
      <c r="F47" s="5">
        <v>43546</v>
      </c>
      <c r="G47" s="4" t="s">
        <v>37</v>
      </c>
      <c r="H47" s="4" t="s">
        <v>38</v>
      </c>
      <c r="I47" s="4" t="s">
        <v>38</v>
      </c>
      <c r="J47" s="6">
        <v>1535.73</v>
      </c>
      <c r="K47" s="6">
        <v>0</v>
      </c>
      <c r="L47" s="6">
        <v>0</v>
      </c>
      <c r="M47" s="6">
        <v>76.790000000000006</v>
      </c>
      <c r="N47" s="6">
        <v>46.07</v>
      </c>
      <c r="O47" s="6">
        <v>0</v>
      </c>
      <c r="P47" s="6">
        <v>24958.880000000001</v>
      </c>
      <c r="Q47" s="6">
        <v>0</v>
      </c>
      <c r="R47" s="6">
        <v>0</v>
      </c>
      <c r="S47" s="6">
        <v>1247.94</v>
      </c>
      <c r="T47" s="6">
        <v>748.75</v>
      </c>
      <c r="U47" s="6">
        <v>1003</v>
      </c>
      <c r="V47" s="5">
        <v>35884</v>
      </c>
      <c r="W47" s="5">
        <v>43546</v>
      </c>
      <c r="X47" s="7"/>
      <c r="Y47" s="4"/>
      <c r="Z47" s="4" t="s">
        <v>348</v>
      </c>
      <c r="AA47" s="4" t="s">
        <v>349</v>
      </c>
      <c r="AB47" s="4"/>
      <c r="AC47" s="4" t="s">
        <v>350</v>
      </c>
      <c r="AD47" s="4" t="s">
        <v>42</v>
      </c>
      <c r="AE47" s="4" t="s">
        <v>351</v>
      </c>
      <c r="AF47" s="7"/>
    </row>
    <row r="48" spans="1:32">
      <c r="A48" s="4" t="s">
        <v>352</v>
      </c>
      <c r="B48" s="4" t="s">
        <v>353</v>
      </c>
      <c r="C48" s="4" t="s">
        <v>34</v>
      </c>
      <c r="D48" s="4" t="s">
        <v>354</v>
      </c>
      <c r="E48" s="4" t="s">
        <v>36</v>
      </c>
      <c r="F48" s="5">
        <v>41607</v>
      </c>
      <c r="G48" s="4" t="s">
        <v>37</v>
      </c>
      <c r="H48" s="4" t="s">
        <v>38</v>
      </c>
      <c r="I48" s="4" t="s">
        <v>38</v>
      </c>
      <c r="J48" s="6">
        <v>2798.4</v>
      </c>
      <c r="K48" s="6">
        <v>0</v>
      </c>
      <c r="L48" s="6">
        <v>223.87</v>
      </c>
      <c r="M48" s="6">
        <v>0</v>
      </c>
      <c r="N48" s="6">
        <v>83.95</v>
      </c>
      <c r="O48" s="6">
        <v>0</v>
      </c>
      <c r="P48" s="6">
        <v>46356.2</v>
      </c>
      <c r="Q48" s="6">
        <v>0</v>
      </c>
      <c r="R48" s="6">
        <v>3708.5</v>
      </c>
      <c r="S48" s="6">
        <v>0</v>
      </c>
      <c r="T48" s="6">
        <v>1390.7</v>
      </c>
      <c r="U48" s="6">
        <v>991</v>
      </c>
      <c r="V48" s="5">
        <v>26637</v>
      </c>
      <c r="W48" s="5">
        <v>41607</v>
      </c>
      <c r="X48" s="7"/>
      <c r="Y48" s="4" t="s">
        <v>355</v>
      </c>
      <c r="Z48" s="4" t="s">
        <v>356</v>
      </c>
      <c r="AA48" s="4" t="s">
        <v>357</v>
      </c>
      <c r="AB48" s="4"/>
      <c r="AC48" s="4" t="s">
        <v>358</v>
      </c>
      <c r="AD48" s="4" t="s">
        <v>42</v>
      </c>
      <c r="AE48" s="4" t="s">
        <v>359</v>
      </c>
      <c r="AF48" s="7"/>
    </row>
    <row r="49" spans="1:32">
      <c r="A49" s="4" t="s">
        <v>360</v>
      </c>
      <c r="B49" s="4" t="s">
        <v>361</v>
      </c>
      <c r="C49" s="4"/>
      <c r="D49" s="4" t="s">
        <v>362</v>
      </c>
      <c r="E49" s="4" t="s">
        <v>104</v>
      </c>
      <c r="F49" s="5">
        <v>44410</v>
      </c>
      <c r="G49" s="4" t="s">
        <v>37</v>
      </c>
      <c r="H49" s="4" t="s">
        <v>38</v>
      </c>
      <c r="I49" s="4" t="s">
        <v>38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15049.95</v>
      </c>
      <c r="Q49" s="6">
        <v>0</v>
      </c>
      <c r="R49" s="6">
        <v>77.17</v>
      </c>
      <c r="S49" s="6">
        <v>0</v>
      </c>
      <c r="T49" s="6">
        <v>77.17</v>
      </c>
      <c r="U49" s="6">
        <v>592.75</v>
      </c>
      <c r="V49" s="5">
        <v>30103</v>
      </c>
      <c r="W49" s="5">
        <v>44410</v>
      </c>
      <c r="X49" s="5">
        <v>44655</v>
      </c>
      <c r="Y49" s="4"/>
      <c r="Z49" s="4" t="s">
        <v>363</v>
      </c>
      <c r="AA49" s="4" t="s">
        <v>364</v>
      </c>
      <c r="AB49" s="4"/>
      <c r="AC49" s="4" t="s">
        <v>365</v>
      </c>
      <c r="AD49" s="4" t="s">
        <v>42</v>
      </c>
      <c r="AE49" s="4" t="s">
        <v>366</v>
      </c>
      <c r="AF49" s="7"/>
    </row>
    <row r="50" spans="1:32">
      <c r="A50" s="4" t="s">
        <v>367</v>
      </c>
      <c r="B50" s="4" t="s">
        <v>33</v>
      </c>
      <c r="C50" s="4" t="s">
        <v>368</v>
      </c>
      <c r="D50" s="4" t="s">
        <v>369</v>
      </c>
      <c r="E50" s="4" t="s">
        <v>36</v>
      </c>
      <c r="F50" s="5">
        <v>41904</v>
      </c>
      <c r="G50" s="4" t="s">
        <v>37</v>
      </c>
      <c r="H50" s="4" t="s">
        <v>38</v>
      </c>
      <c r="I50" s="4" t="s">
        <v>38</v>
      </c>
      <c r="J50" s="6">
        <v>12433.89</v>
      </c>
      <c r="K50" s="6">
        <v>0</v>
      </c>
      <c r="L50" s="6">
        <v>1616.41</v>
      </c>
      <c r="M50" s="6">
        <v>124.34</v>
      </c>
      <c r="N50" s="6">
        <v>373.02</v>
      </c>
      <c r="O50" s="6">
        <v>0</v>
      </c>
      <c r="P50" s="6">
        <v>90128.84</v>
      </c>
      <c r="Q50" s="6">
        <v>0</v>
      </c>
      <c r="R50" s="6">
        <v>11234.39</v>
      </c>
      <c r="S50" s="6">
        <v>418.99</v>
      </c>
      <c r="T50" s="6">
        <v>2703.82</v>
      </c>
      <c r="U50" s="6">
        <v>880</v>
      </c>
      <c r="V50" s="5">
        <v>25852</v>
      </c>
      <c r="W50" s="5">
        <v>41904</v>
      </c>
      <c r="X50" s="7"/>
      <c r="Y50" s="4" t="s">
        <v>370</v>
      </c>
      <c r="Z50" s="4" t="s">
        <v>371</v>
      </c>
      <c r="AA50" s="4" t="s">
        <v>372</v>
      </c>
      <c r="AB50" s="4"/>
      <c r="AC50" s="4" t="s">
        <v>343</v>
      </c>
      <c r="AD50" s="4" t="s">
        <v>42</v>
      </c>
      <c r="AE50" s="4" t="s">
        <v>373</v>
      </c>
      <c r="AF50" s="7"/>
    </row>
    <row r="51" spans="1:32">
      <c r="A51" s="4" t="s">
        <v>374</v>
      </c>
      <c r="B51" s="4" t="s">
        <v>375</v>
      </c>
      <c r="C51" s="4" t="s">
        <v>185</v>
      </c>
      <c r="D51" s="4" t="s">
        <v>376</v>
      </c>
      <c r="E51" s="4" t="s">
        <v>36</v>
      </c>
      <c r="F51" s="5">
        <v>42625</v>
      </c>
      <c r="G51" s="4" t="s">
        <v>37</v>
      </c>
      <c r="H51" s="4" t="s">
        <v>38</v>
      </c>
      <c r="I51" s="4" t="s">
        <v>38</v>
      </c>
      <c r="J51" s="6">
        <v>1526.4</v>
      </c>
      <c r="K51" s="6">
        <v>0</v>
      </c>
      <c r="L51" s="6">
        <v>76.319999999999993</v>
      </c>
      <c r="M51" s="6">
        <v>0</v>
      </c>
      <c r="N51" s="6">
        <v>45.79</v>
      </c>
      <c r="O51" s="6">
        <v>0</v>
      </c>
      <c r="P51" s="6">
        <v>25149.94</v>
      </c>
      <c r="Q51" s="6">
        <v>0</v>
      </c>
      <c r="R51" s="6">
        <v>1257.5</v>
      </c>
      <c r="S51" s="6">
        <v>0</v>
      </c>
      <c r="T51" s="6">
        <v>754.51</v>
      </c>
      <c r="U51" s="6">
        <v>1076.75</v>
      </c>
      <c r="V51" s="5">
        <v>24947</v>
      </c>
      <c r="W51" s="5">
        <v>42625</v>
      </c>
      <c r="X51" s="7"/>
      <c r="Y51" s="4" t="s">
        <v>377</v>
      </c>
      <c r="Z51" s="4" t="s">
        <v>378</v>
      </c>
      <c r="AA51" s="4" t="s">
        <v>379</v>
      </c>
      <c r="AB51" s="4"/>
      <c r="AC51" s="4" t="s">
        <v>380</v>
      </c>
      <c r="AD51" s="4" t="s">
        <v>42</v>
      </c>
      <c r="AE51" s="4" t="s">
        <v>381</v>
      </c>
      <c r="AF51" s="7"/>
    </row>
    <row r="52" spans="1:32">
      <c r="A52" s="11" t="s">
        <v>382</v>
      </c>
      <c r="B52" s="12"/>
      <c r="C52" s="12"/>
      <c r="D52" s="12"/>
      <c r="E52" s="12"/>
      <c r="F52" s="12"/>
      <c r="G52" s="12"/>
      <c r="H52" s="12"/>
      <c r="I52" s="12"/>
      <c r="J52" s="9">
        <v>102110.37</v>
      </c>
      <c r="K52" s="9">
        <v>0</v>
      </c>
      <c r="L52" s="10">
        <f>SUM(L2:L51)</f>
        <v>4744.9299999999994</v>
      </c>
      <c r="M52" s="10">
        <f>SUM(M2:M51)</f>
        <v>889.01</v>
      </c>
      <c r="N52" s="8" t="s">
        <v>38</v>
      </c>
      <c r="O52" s="8" t="s">
        <v>38</v>
      </c>
      <c r="P52" s="9">
        <v>1543025.55</v>
      </c>
      <c r="Q52" s="9">
        <v>0</v>
      </c>
      <c r="R52" s="8" t="s">
        <v>38</v>
      </c>
      <c r="S52" s="8" t="s">
        <v>38</v>
      </c>
      <c r="T52" s="8" t="s">
        <v>38</v>
      </c>
      <c r="U52" s="8" t="s">
        <v>38</v>
      </c>
      <c r="V52" s="8" t="s">
        <v>38</v>
      </c>
      <c r="W52" s="8" t="s">
        <v>38</v>
      </c>
      <c r="X52" s="8" t="s">
        <v>38</v>
      </c>
      <c r="Y52" s="8" t="s">
        <v>38</v>
      </c>
      <c r="Z52" s="8" t="s">
        <v>38</v>
      </c>
      <c r="AA52" s="8" t="s">
        <v>38</v>
      </c>
      <c r="AB52" s="8" t="s">
        <v>38</v>
      </c>
      <c r="AC52" s="8" t="s">
        <v>38</v>
      </c>
      <c r="AD52" s="8" t="s">
        <v>38</v>
      </c>
      <c r="AE52" s="8" t="s">
        <v>38</v>
      </c>
      <c r="AF52" s="8" t="s">
        <v>38</v>
      </c>
    </row>
  </sheetData>
  <mergeCells count="1">
    <mergeCell ref="A52:I52"/>
  </mergeCells>
  <pageMargins left="0" right="0" top="0" bottom="0" header="0" footer="0"/>
  <pageSetup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F6968896F82641B6382947BB74700A" ma:contentTypeVersion="2" ma:contentTypeDescription="Create a new document." ma:contentTypeScope="" ma:versionID="253127791092df0c247beb09f22edd99">
  <xsd:schema xmlns:xsd="http://www.w3.org/2001/XMLSchema" xmlns:xs="http://www.w3.org/2001/XMLSchema" xmlns:p="http://schemas.microsoft.com/office/2006/metadata/properties" xmlns:ns3="522b667b-549e-4cd4-b579-24c35adea452" targetNamespace="http://schemas.microsoft.com/office/2006/metadata/properties" ma:root="true" ma:fieldsID="ca418c8d7c69e0f0d6aa74378204f726" ns3:_="">
    <xsd:import namespace="522b667b-549e-4cd4-b579-24c35adea4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b667b-549e-4cd4-b579-24c35adea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FB1D44-2A57-416F-960E-1956CF1D1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b667b-549e-4cd4-b579-24c35adea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131FC4-B409-4A67-92F9-E2DD1A33F4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98D98B-8E40-42AE-A903-70A3B5951E91}">
  <ds:schemaRefs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infopath/2007/PartnerControls"/>
    <ds:schemaRef ds:uri="522b667b-549e-4cd4-b579-24c35adea45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Robbyn Seier</dc:creator>
  <cp:lastModifiedBy>Ann Maynard</cp:lastModifiedBy>
  <dcterms:created xsi:type="dcterms:W3CDTF">2022-06-07T17:28:48Z</dcterms:created>
  <dcterms:modified xsi:type="dcterms:W3CDTF">2022-06-08T14:03:03Z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0x01010093F6968896F82641B6382947BB74700A</vt:lpwstr>
  </property>
</Properties>
</file>