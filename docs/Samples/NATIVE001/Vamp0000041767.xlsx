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pivotTables/pivotTable2.xml" ContentType="application/vnd.openxmlformats-officedocument.spreadsheetml.pivotTable+xml"/>
  <Override PartName="/xl/comments2.xml" ContentType="application/vnd.openxmlformats-officedocument.spreadsheetml.comments+xml"/>
  <Override PartName="/xl/pivotTables/pivotTable3.xml" ContentType="application/vnd.openxmlformats-officedocument.spreadsheetml.pivotTable+xml"/>
  <Override PartName="/xl/comments3.xml" ContentType="application/vnd.openxmlformats-officedocument.spreadsheetml.comments+xml"/>
  <Override PartName="/xl/pivotTables/pivotTable4.xml" ContentType="application/vnd.openxmlformats-officedocument.spreadsheetml.pivotTable+xml"/>
  <Override PartName="/xl/comments4.xml" ContentType="application/vnd.openxmlformats-officedocument.spreadsheetml.comments+xml"/>
  <Override PartName="/xl/pivotTables/pivotTable5.xml" ContentType="application/vnd.openxmlformats-officedocument.spreadsheetml.pivotTable+xml"/>
  <Override PartName="/xl/comments5.xml" ContentType="application/vnd.openxmlformats-officedocument.spreadsheetml.comments+xml"/>
  <Override PartName="/xl/pivotTables/pivotTable6.xml" ContentType="application/vnd.openxmlformats-officedocument.spreadsheetml.pivotTable+xml"/>
  <Override PartName="/xl/comments6.xml" ContentType="application/vnd.openxmlformats-officedocument.spreadsheetml.comments+xml"/>
  <Override PartName="/xl/pivotTables/pivotTable7.xml" ContentType="application/vnd.openxmlformats-officedocument.spreadsheetml.pivotTable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mckibbin\OneDrive - Johnstone Supply\Desktop\"/>
    </mc:Choice>
  </mc:AlternateContent>
  <bookViews>
    <workbookView xWindow="0" yWindow="0" windowWidth="28800" windowHeight="12435"/>
  </bookViews>
  <sheets>
    <sheet name="CBC AB" sheetId="1" r:id="rId1"/>
    <sheet name="CBC W" sheetId="2" r:id="rId2"/>
    <sheet name="Allied Benefits" sheetId="3" r:id="rId3"/>
    <sheet name="Reliance Standard AB" sheetId="4" r:id="rId4"/>
    <sheet name="Reliance Standard W" sheetId="5" r:id="rId5"/>
    <sheet name="United Concordia AB " sheetId="6" r:id="rId6"/>
    <sheet name="United Concordia W" sheetId="7" r:id="rId7"/>
  </sheets>
  <calcPr calcId="152511"/>
  <pivotCaches>
    <pivotCache cacheId="0" r:id="rId8"/>
    <pivotCache cacheId="1" r:id="rId9"/>
    <pivotCache cacheId="2" r:id="rId10"/>
    <pivotCache cacheId="3" r:id="rId11"/>
    <pivotCache cacheId="4" r:id="rId12"/>
    <pivotCache cacheId="5" r:id="rId13"/>
    <pivotCache cacheId="6" r:id="rId14"/>
  </pivotCaches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Helen McKibbin</author>
  </authors>
  <commentList>
    <comment ref="D7" authorId="0" shapeId="0">
      <text>
        <r>
          <rPr>
            <b/>
            <sz val="9"/>
            <color indexed="81"/>
            <rFont val="Tahoma"/>
            <family val="2"/>
          </rPr>
          <t>Helen McKibbin:</t>
        </r>
        <r>
          <rPr>
            <sz val="9"/>
            <color indexed="81"/>
            <rFont val="Tahoma"/>
            <family val="2"/>
          </rPr>
          <t xml:space="preserve">
Copy and paste GL and amount into DDI voucher</t>
        </r>
      </text>
    </comment>
  </commentList>
</comments>
</file>

<file path=xl/comments2.xml><?xml version="1.0" encoding="utf-8"?>
<comments xmlns="http://schemas.openxmlformats.org/spreadsheetml/2006/main">
  <authors>
    <author>Helen McKibbin</author>
  </authors>
  <commentList>
    <comment ref="D7" authorId="0" shapeId="0">
      <text>
        <r>
          <rPr>
            <b/>
            <sz val="9"/>
            <color indexed="81"/>
            <rFont val="Tahoma"/>
            <family val="2"/>
          </rPr>
          <t>Helen McKibbin:</t>
        </r>
        <r>
          <rPr>
            <sz val="9"/>
            <color indexed="81"/>
            <rFont val="Tahoma"/>
            <family val="2"/>
          </rPr>
          <t xml:space="preserve">
Copy and paste GL and amount into DDI voucher</t>
        </r>
      </text>
    </comment>
  </commentList>
</comments>
</file>

<file path=xl/comments3.xml><?xml version="1.0" encoding="utf-8"?>
<comments xmlns="http://schemas.openxmlformats.org/spreadsheetml/2006/main">
  <authors>
    <author>Helen McKibbin</author>
  </authors>
  <commentList>
    <comment ref="F7" authorId="0" shapeId="0">
      <text>
        <r>
          <rPr>
            <b/>
            <sz val="9"/>
            <color indexed="81"/>
            <rFont val="Tahoma"/>
            <family val="2"/>
          </rPr>
          <t>Helen McKibbin:</t>
        </r>
        <r>
          <rPr>
            <sz val="9"/>
            <color indexed="81"/>
            <rFont val="Tahoma"/>
            <family val="2"/>
          </rPr>
          <t xml:space="preserve">
Copy and paste GL and amount into DDI voucher</t>
        </r>
      </text>
    </comment>
  </commentList>
</comments>
</file>

<file path=xl/comments4.xml><?xml version="1.0" encoding="utf-8"?>
<comments xmlns="http://schemas.openxmlformats.org/spreadsheetml/2006/main">
  <authors>
    <author>Helen McKibbin</author>
  </authors>
  <commentList>
    <comment ref="F11" authorId="0" shapeId="0">
      <text>
        <r>
          <rPr>
            <b/>
            <sz val="9"/>
            <color indexed="81"/>
            <rFont val="Tahoma"/>
            <family val="2"/>
          </rPr>
          <t>Helen McKibbin:</t>
        </r>
        <r>
          <rPr>
            <sz val="9"/>
            <color indexed="81"/>
            <rFont val="Tahoma"/>
            <family val="2"/>
          </rPr>
          <t xml:space="preserve">
Copy and paste GL and amount into DDI voucher</t>
        </r>
      </text>
    </comment>
  </commentList>
</comments>
</file>

<file path=xl/comments5.xml><?xml version="1.0" encoding="utf-8"?>
<comments xmlns="http://schemas.openxmlformats.org/spreadsheetml/2006/main">
  <authors>
    <author>Helen McKibbin</author>
  </authors>
  <commentList>
    <comment ref="F9" authorId="0" shapeId="0">
      <text>
        <r>
          <rPr>
            <b/>
            <sz val="9"/>
            <color indexed="81"/>
            <rFont val="Tahoma"/>
            <family val="2"/>
          </rPr>
          <t>Helen McKibbin:</t>
        </r>
        <r>
          <rPr>
            <sz val="9"/>
            <color indexed="81"/>
            <rFont val="Tahoma"/>
            <family val="2"/>
          </rPr>
          <t xml:space="preserve">
Copy and paste GL and amount into DDI voucher</t>
        </r>
      </text>
    </comment>
  </commentList>
</comments>
</file>

<file path=xl/comments6.xml><?xml version="1.0" encoding="utf-8"?>
<comments xmlns="http://schemas.openxmlformats.org/spreadsheetml/2006/main">
  <authors>
    <author>Helen McKibbin</author>
  </authors>
  <commentList>
    <comment ref="F8" authorId="0" shapeId="0">
      <text>
        <r>
          <rPr>
            <b/>
            <sz val="9"/>
            <color indexed="81"/>
            <rFont val="Tahoma"/>
            <family val="2"/>
          </rPr>
          <t>Helen McKibbin:</t>
        </r>
        <r>
          <rPr>
            <sz val="9"/>
            <color indexed="81"/>
            <rFont val="Tahoma"/>
            <family val="2"/>
          </rPr>
          <t xml:space="preserve">
Copy and paste GL and amount into DDI voucher</t>
        </r>
      </text>
    </comment>
  </commentList>
</comments>
</file>

<file path=xl/comments7.xml><?xml version="1.0" encoding="utf-8"?>
<comments xmlns="http://schemas.openxmlformats.org/spreadsheetml/2006/main">
  <authors>
    <author>Helen McKibbin</author>
  </authors>
  <commentList>
    <comment ref="F9" authorId="0" shapeId="0">
      <text>
        <r>
          <rPr>
            <b/>
            <sz val="9"/>
            <color indexed="81"/>
            <rFont val="Tahoma"/>
            <family val="2"/>
          </rPr>
          <t>Helen McKibbin:</t>
        </r>
        <r>
          <rPr>
            <sz val="9"/>
            <color indexed="81"/>
            <rFont val="Tahoma"/>
            <family val="2"/>
          </rPr>
          <t xml:space="preserve">
Copy and paste GL and amount into DDI voucher</t>
        </r>
      </text>
    </comment>
  </commentList>
</comments>
</file>

<file path=xl/sharedStrings.xml><?xml version="1.0" encoding="utf-8"?>
<sst xmlns="http://schemas.openxmlformats.org/spreadsheetml/2006/main" count="286" uniqueCount="97">
  <si>
    <t>Capital Blue Cross - A&amp;B</t>
  </si>
  <si>
    <t>Vendor #</t>
  </si>
  <si>
    <t>01229</t>
  </si>
  <si>
    <t>ACH &amp; Check Date</t>
  </si>
  <si>
    <t>Invoice #</t>
  </si>
  <si>
    <t>221050034785</t>
  </si>
  <si>
    <t>Bank</t>
  </si>
  <si>
    <t>Invoice Date</t>
  </si>
  <si>
    <t xml:space="preserve">EFT/Check #   </t>
  </si>
  <si>
    <t>Branch</t>
  </si>
  <si>
    <t>PO Ref</t>
  </si>
  <si>
    <t>A&amp;B Healthcare Premium May22</t>
  </si>
  <si>
    <t>Row Labels</t>
  </si>
  <si>
    <t>Sum of Amount</t>
  </si>
  <si>
    <t>5200-01</t>
  </si>
  <si>
    <t>5200-02</t>
  </si>
  <si>
    <t>5200-03</t>
  </si>
  <si>
    <t>5201-01</t>
  </si>
  <si>
    <t>5203-01</t>
  </si>
  <si>
    <t>5226-02</t>
  </si>
  <si>
    <t>5226-03</t>
  </si>
  <si>
    <t>Grand Total</t>
  </si>
  <si>
    <t>Capital Blue Cross - Wallace</t>
  </si>
  <si>
    <t>221050026830</t>
  </si>
  <si>
    <t>Wallace  Healthcare Premium May22</t>
  </si>
  <si>
    <t>Sum of Premium</t>
  </si>
  <si>
    <t>5200-04</t>
  </si>
  <si>
    <t>5200-05</t>
  </si>
  <si>
    <t>5200-06</t>
  </si>
  <si>
    <t>5200-07</t>
  </si>
  <si>
    <t>5200-08</t>
  </si>
  <si>
    <t>5200-09</t>
  </si>
  <si>
    <t>5203-04</t>
  </si>
  <si>
    <t>5204-06</t>
  </si>
  <si>
    <t>5206-06</t>
  </si>
  <si>
    <t>5226-05</t>
  </si>
  <si>
    <t>5226-06</t>
  </si>
  <si>
    <t>5226-07</t>
  </si>
  <si>
    <t>5226-08</t>
  </si>
  <si>
    <t>5226-09</t>
  </si>
  <si>
    <t xml:space="preserve">Allied Benefit Sys  </t>
  </si>
  <si>
    <t>02335</t>
  </si>
  <si>
    <t>0000591612</t>
  </si>
  <si>
    <t>Medical Premium May22</t>
  </si>
  <si>
    <t>Sum of Total Due</t>
  </si>
  <si>
    <t>52000100</t>
  </si>
  <si>
    <t>52000200</t>
  </si>
  <si>
    <t>52000300</t>
  </si>
  <si>
    <t>52000400</t>
  </si>
  <si>
    <t>52000500</t>
  </si>
  <si>
    <t>52000600</t>
  </si>
  <si>
    <t>52000700</t>
  </si>
  <si>
    <t>52000800</t>
  </si>
  <si>
    <t>52000900</t>
  </si>
  <si>
    <t>52010100</t>
  </si>
  <si>
    <t>5202-01</t>
  </si>
  <si>
    <t>52020100</t>
  </si>
  <si>
    <t>52030100</t>
  </si>
  <si>
    <t>52030400</t>
  </si>
  <si>
    <t>5205-01</t>
  </si>
  <si>
    <t>52050100</t>
  </si>
  <si>
    <t>5205-06</t>
  </si>
  <si>
    <t>52050600</t>
  </si>
  <si>
    <t>52260200</t>
  </si>
  <si>
    <t>52260500</t>
  </si>
  <si>
    <t>52260600</t>
  </si>
  <si>
    <t>52260700</t>
  </si>
  <si>
    <t>52260800</t>
  </si>
  <si>
    <t>02264</t>
  </si>
  <si>
    <t>AB-05-01-2022</t>
  </si>
  <si>
    <t>A&amp;B Premium May22</t>
  </si>
  <si>
    <t>Policy # GL163813   Group Name: A&amp;B</t>
  </si>
  <si>
    <t>Bill Group # 01000001</t>
  </si>
  <si>
    <t>Sum of Total Premium</t>
  </si>
  <si>
    <t>5226-01</t>
  </si>
  <si>
    <t>52260100</t>
  </si>
  <si>
    <t>52260300</t>
  </si>
  <si>
    <t>W-05-01-2022</t>
  </si>
  <si>
    <t>Wallace Premium May22</t>
  </si>
  <si>
    <t>Policy # GL163813   Group Name:  Wallace Supply</t>
  </si>
  <si>
    <t>Bill Group # 01000002</t>
  </si>
  <si>
    <t>52040600</t>
  </si>
  <si>
    <t>5205-09</t>
  </si>
  <si>
    <t>52050900</t>
  </si>
  <si>
    <t>52060600</t>
  </si>
  <si>
    <t>52260900</t>
  </si>
  <si>
    <t>United Concordia - A&amp;B</t>
  </si>
  <si>
    <t>02132</t>
  </si>
  <si>
    <t>175105590</t>
  </si>
  <si>
    <t>A&amp;B Dental Premium May22</t>
  </si>
  <si>
    <t>Acct Number 000325363</t>
  </si>
  <si>
    <t>United Concordia - Wallace</t>
  </si>
  <si>
    <t>175105591</t>
  </si>
  <si>
    <t>Wallace Dental Premium May22</t>
  </si>
  <si>
    <t>Acct Number 000325364</t>
  </si>
  <si>
    <t>Reliance Standard A&amp;B</t>
  </si>
  <si>
    <t>Reliance Standard - Wallace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</si>
</sst>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Arial"/>
      <family val="2"/>
    </font>
    <font>
      <sz val="14"/>
      <color rgb="FFFF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Font="1"/>
    <xf numFmtId="0" fontId="4" fillId="0" borderId="0" xfId="0" applyFont="1"/>
    <xf numFmtId="49" fontId="5" fillId="0" borderId="0" xfId="0" applyNumberFormat="1" applyFont="1" applyAlignment="1">
      <alignment horizontal="center"/>
    </xf>
    <xf numFmtId="0" fontId="4" fillId="0" borderId="0" xfId="0" applyFont="1" applyAlignment="1">
      <alignment horizontal="left" wrapText="1"/>
    </xf>
    <xf numFmtId="14" fontId="5" fillId="0" borderId="0" xfId="0" applyNumberFormat="1" applyFont="1" applyAlignment="1">
      <alignment horizontal="center"/>
    </xf>
    <xf numFmtId="0" fontId="5" fillId="0" borderId="0" xfId="0" applyFont="1"/>
    <xf numFmtId="49" fontId="5" fillId="0" borderId="0" xfId="0" applyNumberFormat="1" applyFont="1" applyAlignment="1"/>
    <xf numFmtId="0" fontId="4" fillId="0" borderId="0" xfId="0" applyFont="1" applyAlignme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14" fontId="5" fillId="0" borderId="0" xfId="1" applyNumberFormat="1" applyFont="1" applyAlignment="1">
      <alignment horizontal="center"/>
    </xf>
    <xf numFmtId="1" fontId="5" fillId="0" borderId="0" xfId="1" applyNumberFormat="1" applyFont="1" applyAlignment="1">
      <alignment horizontal="center"/>
    </xf>
    <xf numFmtId="0" fontId="2" fillId="0" borderId="0" xfId="0" applyFont="1" applyAlignment="1"/>
    <xf numFmtId="49" fontId="5" fillId="0" borderId="0" xfId="1" applyNumberFormat="1" applyFont="1" applyAlignment="1">
      <alignment horizontal="center"/>
    </xf>
    <xf numFmtId="0" fontId="5" fillId="0" borderId="0" xfId="0" applyFont="1" applyAlignment="1"/>
    <xf numFmtId="0" fontId="5" fillId="0" borderId="0" xfId="0" applyFont="1" applyAlignment="1">
      <alignment horizontal="left"/>
    </xf>
    <xf numFmtId="44" fontId="5" fillId="0" borderId="0" xfId="0" applyNumberFormat="1" applyFont="1"/>
    <xf numFmtId="0" fontId="5" fillId="0" borderId="0" xfId="0" pivotButton="1" applyFont="1"/>
    <xf numFmtId="0" fontId="6" fillId="0" borderId="0" xfId="0" applyFont="1"/>
    <xf numFmtId="49" fontId="6" fillId="0" borderId="0" xfId="0" applyNumberFormat="1" applyFont="1" applyAlignment="1"/>
    <xf numFmtId="0" fontId="7" fillId="0" borderId="0" xfId="0" applyFont="1" applyAlignment="1"/>
    <xf numFmtId="49" fontId="5" fillId="0" borderId="0" xfId="0" applyNumberFormat="1" applyFont="1"/>
    <xf numFmtId="2" fontId="5" fillId="0" borderId="0" xfId="0" applyNumberFormat="1" applyFont="1"/>
    <xf numFmtId="43" fontId="5" fillId="0" borderId="0" xfId="1" applyNumberFormat="1" applyFont="1"/>
    <xf numFmtId="49" fontId="0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14" fontId="0" fillId="0" borderId="0" xfId="0" applyNumberFormat="1" applyFont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44" fontId="0" fillId="0" borderId="0" xfId="0" applyNumberFormat="1"/>
    <xf numFmtId="49" fontId="0" fillId="0" borderId="0" xfId="0" applyNumberFormat="1"/>
    <xf numFmtId="0" fontId="0" fillId="0" borderId="0" xfId="0" applyNumberFormat="1"/>
    <xf numFmtId="2" fontId="0" fillId="0" borderId="0" xfId="0" applyNumberFormat="1"/>
    <xf numFmtId="0" fontId="0" fillId="0" borderId="0" xfId="0" pivotButton="1"/>
    <xf numFmtId="44" fontId="0" fillId="0" borderId="0" xfId="1" applyFont="1"/>
    <xf numFmtId="0" fontId="10" fillId="0" borderId="0" xfId="0" applyFont="1" applyAlignment="1"/>
    <xf numFmtId="0" fontId="11" fillId="0" borderId="0" xfId="0" applyFont="1" applyAlignment="1"/>
    <xf numFmtId="0" fontId="11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49" fontId="0" fillId="0" borderId="0" xfId="0" applyNumberFormat="1" applyFont="1"/>
    <xf numFmtId="49" fontId="2" fillId="0" borderId="0" xfId="0" applyNumberFormat="1" applyFont="1" applyAlignment="1"/>
  </cellXfs>
  <cellStyles count="2">
    <cellStyle name="Currency" xfId="1" builtinId="4"/>
    <cellStyle name="Normal" xfId="0" builtinId="0"/>
  </cellStyles>
  <dxfs count="43"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numFmt numFmtId="34" formatCode="_(&quot;$&quot;* #,##0.00_);_(&quot;$&quot;* \(#,##0.00\);_(&quot;$&quot;* &quot;-&quot;??_);_(@_)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font>
        <name val="Calibri"/>
        <scheme val="minor"/>
      </font>
    </dxf>
    <dxf>
      <numFmt numFmtId="34" formatCode="_(&quot;$&quot;* #,##0.00_);_(&quot;$&quot;* \(#,##0.00\);_(&quot;$&quot;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ivotCacheDefinition" Target="pivotCache/pivotCacheDefinition6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HR\HR%20Vendors%20&amp;%20AP%20Master%20Sheets\HR%20Payroll%20AP%20File\Capital%20Blue%20Cross%20(EFT)\2022\AB\AB%202022%20Cap%20Blue%20Monthly%20Invoice%20Worksheet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HR\HR%20Vendors%20&amp;%20AP%20Master%20Sheets\HR%20Payroll%20AP%20File\Capital%20Blue%20Cross%20(EFT)\2022\Wallace\W%202022%20CapBlue%20Monthly%20Invoice%20Worksheet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HR\HR%20Vendors%20&amp;%20AP%20Master%20Sheets\HR%20Payroll%20AP%20File\Allied%20Benefits%20(EFT)\2022\2022%20Master%20Worksheet%20-%20Allied%20Benefits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HR\HR%20Vendors%20&amp;%20AP%20Master%20Sheets\HR%20Payroll%20AP%20File\Reliance%20Standard%20(EFT)\2022\AB\AB%202022%20Reliance%20Monthly%20Invoice%20Worksheet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HR\HR%20Vendors%20&amp;%20AP%20Master%20Sheets\HR%20Payroll%20AP%20File\Reliance%20Standard%20(EFT)\2022\Wallace\W%202022%20Reliance%20Monthly%20Invoice%20Worksheet.xlsx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HR\HR%20Vendors%20&amp;%20AP%20Master%20Sheets\HR%20Payroll%20AP%20File\United%20Concordia%20(EFT)\2022\AB\AB%202022%20United%20Concordia%20Monthly%20Invoice%20Worksheet.xlsx" TargetMode="External"/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HR\HR%20Vendors%20&amp;%20AP%20Master%20Sheets\HR%20Payroll%20AP%20File\United%20Concordia%20(EFT)\2022\Wallace\W%202022%20United%20Concordia%20Monthly%20Invoice%20Worksheet.xlsx" TargetMode="External"/><Relationship Id="rId1" Type="http://schemas.openxmlformats.org/officeDocument/2006/relationships/pivotCacheRecords" Target="pivotCacheRecords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elen McKibbin" refreshedDate="44676.469998611108" createdVersion="5" refreshedVersion="5" minRefreshableVersion="3" recordCount="36">
  <cacheSource type="worksheet">
    <worksheetSource ref="A6:E42" sheet="A&amp;B May 2022  " r:id="rId2"/>
  </cacheSource>
  <cacheFields count="5">
    <cacheField name="Name" numFmtId="0">
      <sharedItems containsBlank="1"/>
    </cacheField>
    <cacheField name="Location" numFmtId="0">
      <sharedItems containsBlank="1"/>
    </cacheField>
    <cacheField name="GL" numFmtId="0">
      <sharedItems containsBlank="1" count="8">
        <s v="5200-01"/>
        <m/>
        <s v="5200-02"/>
        <s v="5200-03"/>
        <s v="5201-01"/>
        <s v="5203-01"/>
        <s v="5226-02"/>
        <s v="5226-03"/>
      </sharedItems>
    </cacheField>
    <cacheField name="Plan" numFmtId="0">
      <sharedItems containsBlank="1"/>
    </cacheField>
    <cacheField name="Amount" numFmtId="44">
      <sharedItems containsString="0" containsBlank="1" containsNumber="1" minValue="4.24" maxValue="1398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Helen McKibbin" refreshedDate="44676.476037152781" createdVersion="5" refreshedVersion="5" minRefreshableVersion="3" recordCount="48">
  <cacheSource type="worksheet">
    <worksheetSource ref="A6:E54" sheet="Wallace May 2022  " r:id="rId2"/>
  </cacheSource>
  <cacheFields count="5">
    <cacheField name="Name" numFmtId="0">
      <sharedItems containsBlank="1"/>
    </cacheField>
    <cacheField name="Location" numFmtId="0">
      <sharedItems containsBlank="1"/>
    </cacheField>
    <cacheField name="GL" numFmtId="0">
      <sharedItems containsBlank="1" count="15">
        <s v="5200-04"/>
        <m/>
        <s v="5200-05"/>
        <s v="5200-06"/>
        <s v="5200-07"/>
        <s v="5200-08"/>
        <s v="5200-09"/>
        <s v="5203-04"/>
        <s v="5204-06"/>
        <s v="5206-06"/>
        <s v="5226-05"/>
        <s v="5226-06"/>
        <s v="5226-07"/>
        <s v="5226-08"/>
        <s v="5226-09"/>
      </sharedItems>
    </cacheField>
    <cacheField name="Plan" numFmtId="0">
      <sharedItems containsBlank="1"/>
    </cacheField>
    <cacheField name="Premium" numFmtId="43">
      <sharedItems containsString="0" containsBlank="1" containsNumber="1" minValue="-386.55" maxValue="1398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Helen McKibbin" refreshedDate="44671.616533217595" createdVersion="5" refreshedVersion="5" minRefreshableVersion="3" recordCount="64">
  <cacheSource type="worksheet">
    <worksheetSource ref="A1:H65" sheet="May 2022 R" r:id="rId2"/>
  </cacheSource>
  <cacheFields count="8">
    <cacheField name="Last Name" numFmtId="0">
      <sharedItems containsBlank="1"/>
    </cacheField>
    <cacheField name="First Name" numFmtId="0">
      <sharedItems containsBlank="1"/>
    </cacheField>
    <cacheField name="Claims Account" numFmtId="43">
      <sharedItems containsSemiMixedTypes="0" containsString="0" containsNumber="1" minValue="-292.48" maxValue="9107.0399999999991"/>
    </cacheField>
    <cacheField name="Stoploss Premium" numFmtId="43">
      <sharedItems containsSemiMixedTypes="0" containsString="0" containsNumber="1" minValue="-358.49" maxValue="11162.460000000005"/>
    </cacheField>
    <cacheField name="Admin &amp; Expenses" numFmtId="43">
      <sharedItems containsSemiMixedTypes="0" containsString="0" containsNumber="1" minValue="-66.13" maxValue="2059.1800000000012"/>
    </cacheField>
    <cacheField name="Total Due" numFmtId="43">
      <sharedItems containsSemiMixedTypes="0" containsString="0" containsNumber="1" minValue="-717.1" maxValue="22328.68"/>
    </cacheField>
    <cacheField name="Full Name" numFmtId="0">
      <sharedItems containsBlank="1"/>
    </cacheField>
    <cacheField name="GL" numFmtId="0">
      <sharedItems containsBlank="1" count="21">
        <s v="5201-01"/>
        <s v="5205-01"/>
        <s v="5200-04"/>
        <s v="5200-03"/>
        <s v="5200-09"/>
        <s v="5200-07"/>
        <s v="5200-02"/>
        <s v="5200-08"/>
        <s v="5200-06"/>
        <s v="5226-02"/>
        <s v="5203-01"/>
        <s v="5200-01"/>
        <s v="5226-08"/>
        <s v="5205-06"/>
        <s v="5226-07"/>
        <s v="5202-01"/>
        <s v="5200-05"/>
        <s v="5226-06"/>
        <s v="5226-05"/>
        <s v="5203-0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Helen McKibbin" refreshedDate="44676.40418553241" createdVersion="5" refreshedVersion="5" minRefreshableVersion="3" recordCount="47">
  <cacheSource type="worksheet">
    <worksheetSource ref="A8:H55" sheet="May 2022 R" r:id="rId2"/>
  </cacheSource>
  <cacheFields count="8">
    <cacheField name="Name" numFmtId="0">
      <sharedItems containsBlank="1"/>
    </cacheField>
    <cacheField name="Location" numFmtId="0">
      <sharedItems containsBlank="1"/>
    </cacheField>
    <cacheField name="Group Life" numFmtId="0">
      <sharedItems containsString="0" containsBlank="1" containsNumber="1" minValue="7.15" maxValue="11"/>
    </cacheField>
    <cacheField name="Group Life Adj" numFmtId="0">
      <sharedItems containsNonDate="0" containsString="0" containsBlank="1"/>
    </cacheField>
    <cacheField name="AD&amp;D" numFmtId="0">
      <sharedItems containsString="0" containsBlank="1" containsNumber="1" minValue="0.98" maxValue="1.5"/>
    </cacheField>
    <cacheField name="AD&amp;D Adj" numFmtId="0">
      <sharedItems containsNonDate="0" containsString="0" containsBlank="1"/>
    </cacheField>
    <cacheField name="G&amp;L" numFmtId="0">
      <sharedItems containsBlank="1" count="12">
        <s v="5200-01"/>
        <m/>
        <s v="5200-02"/>
        <s v="5200-03"/>
        <s v="5200-06"/>
        <s v="5201-01"/>
        <s v="5202-01"/>
        <s v="5205-01"/>
        <s v="5203-01"/>
        <s v="5226-01"/>
        <s v="5226-02"/>
        <s v="5226-03"/>
      </sharedItems>
    </cacheField>
    <cacheField name="Total Premium" numFmtId="0">
      <sharedItems containsString="0" containsBlank="1" containsNumber="1" minValue="8.1300000000000008" maxValue="12.5" count="3">
        <n v="12.5"/>
        <n v="8.1300000000000008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Helen McKibbin" refreshedDate="44676.40954375" createdVersion="5" refreshedVersion="5" minRefreshableVersion="3" recordCount="61">
  <cacheSource type="worksheet">
    <worksheetSource ref="A8:H69" sheet="May 2022 R" r:id="rId2"/>
  </cacheSource>
  <cacheFields count="8">
    <cacheField name="Name" numFmtId="0">
      <sharedItems containsBlank="1"/>
    </cacheField>
    <cacheField name="Location" numFmtId="0">
      <sharedItems containsBlank="1"/>
    </cacheField>
    <cacheField name="Group Life" numFmtId="0">
      <sharedItems containsString="0" containsBlank="1" containsNumber="1" containsInteger="1" minValue="11" maxValue="11"/>
    </cacheField>
    <cacheField name="Group Life Adj" numFmtId="0">
      <sharedItems containsNonDate="0" containsString="0" containsBlank="1"/>
    </cacheField>
    <cacheField name="AD&amp;D" numFmtId="0">
      <sharedItems containsString="0" containsBlank="1" containsNumber="1" minValue="1.5" maxValue="1.5"/>
    </cacheField>
    <cacheField name="AD&amp;D                      Adj" numFmtId="0">
      <sharedItems containsNonDate="0" containsString="0" containsBlank="1"/>
    </cacheField>
    <cacheField name="GL" numFmtId="0">
      <sharedItems containsBlank="1" count="17">
        <s v="5200-04"/>
        <m/>
        <s v="5200-05"/>
        <s v="5200-06"/>
        <s v="5200-07"/>
        <s v="5200-08"/>
        <s v="5200-09"/>
        <s v="5203-04"/>
        <s v="5204-06"/>
        <s v="5205-06"/>
        <s v="5205-09"/>
        <s v="5206-06"/>
        <s v="5226-05"/>
        <s v="5226-06"/>
        <s v="5226-07"/>
        <s v="5226-08"/>
        <s v="5226-09"/>
      </sharedItems>
    </cacheField>
    <cacheField name="Total Premium" numFmtId="0">
      <sharedItems containsString="0" containsBlank="1" containsNumber="1" minValue="12.5" maxValue="12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Helen McKibbin" refreshedDate="44676.441947569445" createdVersion="5" refreshedVersion="5" minRefreshableVersion="3" recordCount="35">
  <cacheSource type="worksheet">
    <worksheetSource ref="A6:E41" sheet="May 2022" r:id="rId2"/>
  </cacheSource>
  <cacheFields count="5">
    <cacheField name="Name" numFmtId="0">
      <sharedItems containsBlank="1"/>
    </cacheField>
    <cacheField name="Location" numFmtId="0">
      <sharedItems containsBlank="1"/>
    </cacheField>
    <cacheField name="GL" numFmtId="0">
      <sharedItems containsBlank="1" count="10">
        <s v="5200-01"/>
        <m/>
        <s v="5200-02"/>
        <s v="5200-03"/>
        <s v="5201-01"/>
        <s v="5202-01"/>
        <s v="5203-01"/>
        <s v="5205-01"/>
        <s v="5226-02"/>
        <s v="5226-03"/>
      </sharedItems>
    </cacheField>
    <cacheField name="Plan" numFmtId="0">
      <sharedItems containsBlank="1"/>
    </cacheField>
    <cacheField name="Premium" numFmtId="0">
      <sharedItems containsString="0" containsBlank="1" containsNumber="1" minValue="28.83" maxValue="83.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r:id="rId1" refreshedBy="Helen McKibbin" refreshedDate="44676.459868518519" createdVersion="5" refreshedVersion="5" minRefreshableVersion="3" recordCount="47">
  <cacheSource type="worksheet">
    <worksheetSource ref="A6:E53" sheet="May 2022" r:id="rId2"/>
  </cacheSource>
  <cacheFields count="5">
    <cacheField name="Name" numFmtId="0">
      <sharedItems containsBlank="1"/>
    </cacheField>
    <cacheField name="Location" numFmtId="0">
      <sharedItems containsBlank="1"/>
    </cacheField>
    <cacheField name="GL" numFmtId="0">
      <sharedItems containsBlank="1" count="15">
        <s v="5200-04"/>
        <m/>
        <s v="5200-05"/>
        <s v="5200-06"/>
        <s v="5200-07"/>
        <s v="5200-08"/>
        <s v="5200-09"/>
        <s v="5203-04"/>
        <s v="5204-06"/>
        <s v="5206-06"/>
        <s v="5226-05"/>
        <s v="5226-06"/>
        <s v="5226-07"/>
        <s v="5226-08"/>
        <s v="5226-09"/>
      </sharedItems>
    </cacheField>
    <cacheField name="Plan" numFmtId="0">
      <sharedItems containsBlank="1"/>
    </cacheField>
    <cacheField name="Premium" numFmtId="0">
      <sharedItems containsString="0" containsBlank="1" containsNumber="1" minValue="28.83" maxValue="83.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">
  <r>
    <s v="Chwastyk, David M"/>
    <s v="Easton Counter"/>
    <x v="0"/>
    <s v="PPO0016X B, BCV002F5 B, CAPC972C B"/>
    <n v="1063.9100000000001"/>
  </r>
  <r>
    <s v="Dilan, John M"/>
    <s v="Easton Counter"/>
    <x v="0"/>
    <s v="PPO0016X C, BCV002F5 C, CAPC972C C"/>
    <n v="480.29"/>
  </r>
  <r>
    <s v="Mackenzie, Katelyn E"/>
    <s v="Easton Counter"/>
    <x v="0"/>
    <s v="BCV002F5 C / Allied Medical Enrolled"/>
    <n v="4.24"/>
  </r>
  <r>
    <s v="Sanders, Jeffrey A"/>
    <s v="Easton Counter"/>
    <x v="0"/>
    <s v=" BCV002F5 C / Allied Medical Enrolled"/>
    <n v="4.24"/>
  </r>
  <r>
    <m/>
    <m/>
    <x v="1"/>
    <m/>
    <m/>
  </r>
  <r>
    <m/>
    <m/>
    <x v="1"/>
    <m/>
    <m/>
  </r>
  <r>
    <s v="Martin, Lisa I"/>
    <s v="Reading Counter"/>
    <x v="2"/>
    <s v="BCV002F5 D / Allied Medical Enrolled"/>
    <n v="11.83"/>
  </r>
  <r>
    <s v="Okonski, Zachary S"/>
    <s v="Reading Counter"/>
    <x v="2"/>
    <s v="BCV002F5 C / Allied Medical Enrolled"/>
    <n v="4.24"/>
  </r>
  <r>
    <s v="Rivera, Paul"/>
    <s v="Reading Counter"/>
    <x v="2"/>
    <s v="BCV002F5 B/ Allied Medical Enrolled"/>
    <n v="11.83"/>
  </r>
  <r>
    <s v="Rockwell, Matthew T"/>
    <s v="Reading Counter"/>
    <x v="2"/>
    <s v="PPO0016X B, BCV002F5 B, CAPC972C B"/>
    <n v="1063.9100000000001"/>
  </r>
  <r>
    <m/>
    <m/>
    <x v="1"/>
    <m/>
    <m/>
  </r>
  <r>
    <s v="Bailey, Richard"/>
    <s v="Harrisburg Counter"/>
    <x v="3"/>
    <s v="BCV002F5 C / Allied Medical Enrolled"/>
    <n v="4.24"/>
  </r>
  <r>
    <s v="Nieves, Pascual"/>
    <s v="Harrisburg Counter"/>
    <x v="3"/>
    <s v="BCV002F5 C / Allied Medical Enrolled"/>
    <n v="4.24"/>
  </r>
  <r>
    <s v="Summers, Ryan D"/>
    <s v="Harrisburg Counter"/>
    <x v="3"/>
    <s v="PPO0016X C, BCV002F5 C, CAPC972C C"/>
    <n v="480.29"/>
  </r>
  <r>
    <s v="Young, Mark D"/>
    <s v="Harrisburg Counter"/>
    <x v="3"/>
    <s v="PPO0016X C, BCV002F5 C, CAPC972C C"/>
    <n v="480.29"/>
  </r>
  <r>
    <m/>
    <m/>
    <x v="1"/>
    <m/>
    <m/>
  </r>
  <r>
    <m/>
    <m/>
    <x v="1"/>
    <m/>
    <m/>
  </r>
  <r>
    <s v="Adamko, Courtney"/>
    <s v="Office"/>
    <x v="4"/>
    <s v="BCV002F5 C / Allied Medical Enrolled"/>
    <n v="4.24"/>
  </r>
  <r>
    <s v="Bengel, Allison M"/>
    <s v="Office"/>
    <x v="4"/>
    <s v="PPO0016X C, BCV002F5 C, CAPC972C C"/>
    <n v="480.29"/>
  </r>
  <r>
    <s v="Crawford, Jamie L"/>
    <s v="Office"/>
    <x v="4"/>
    <s v="PPO0016X C, BCV002F5 C, CAPC972C C"/>
    <n v="480.29"/>
  </r>
  <r>
    <s v="Ebert, Michelle"/>
    <s v="Office"/>
    <x v="4"/>
    <s v="PPO000UE A, BCV002F5 A, CAPB992A A"/>
    <n v="1398.1"/>
  </r>
  <r>
    <s v="Hunt, Marianne R"/>
    <s v="Office"/>
    <x v="4"/>
    <s v="PPO0016X B, BCV002F5 B, CAPC972C B"/>
    <n v="1063.9100000000001"/>
  </r>
  <r>
    <s v="Larison, Stacey"/>
    <s v="Office"/>
    <x v="4"/>
    <s v="BCV002F5 A / All Medical Waived"/>
    <n v="11.83"/>
  </r>
  <r>
    <s v="Rutt, Karen M"/>
    <s v="Office"/>
    <x v="4"/>
    <s v="PPO0016X C, BCV002F5 C, CAPC972C C"/>
    <n v="480.29"/>
  </r>
  <r>
    <s v="Vail, Allison"/>
    <s v="Office"/>
    <x v="4"/>
    <s v="BCV002F5 C / Allied Medical Enrolled"/>
    <n v="4.24"/>
  </r>
  <r>
    <s v="Wagner, Juliana N"/>
    <s v="Office"/>
    <x v="4"/>
    <s v=" BCV002F5 D / Allied Medical Enrolled"/>
    <n v="11.83"/>
  </r>
  <r>
    <m/>
    <m/>
    <x v="1"/>
    <m/>
    <m/>
  </r>
  <r>
    <m/>
    <m/>
    <x v="1"/>
    <m/>
    <m/>
  </r>
  <r>
    <s v="Green, Jeffrey E"/>
    <s v="Executive AB"/>
    <x v="5"/>
    <s v="BCV002F5 B/ Allied Medical Enrolled"/>
    <n v="11.83"/>
  </r>
  <r>
    <s v="Wallace, Craig T"/>
    <s v="Executive AB"/>
    <x v="5"/>
    <s v="BCV002F5 A / Allied Medical Enrolled"/>
    <n v="11.83"/>
  </r>
  <r>
    <m/>
    <m/>
    <x v="1"/>
    <m/>
    <m/>
  </r>
  <r>
    <m/>
    <m/>
    <x v="1"/>
    <m/>
    <m/>
  </r>
  <r>
    <s v="Green, Brian L"/>
    <s v="Reading Outside Sales"/>
    <x v="6"/>
    <s v=" BCV002F5 A - Allied Medical Enrolled"/>
    <n v="11.83"/>
  </r>
  <r>
    <m/>
    <m/>
    <x v="1"/>
    <m/>
    <m/>
  </r>
  <r>
    <m/>
    <m/>
    <x v="1"/>
    <m/>
    <m/>
  </r>
  <r>
    <s v="Snyder, Matthew G"/>
    <s v="Harrisburg Outside Sales"/>
    <x v="7"/>
    <s v="PPO0016X A, BCV002F5 A, CAPC972C A"/>
    <n v="1398.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8">
  <r>
    <s v="Bailey, Jason"/>
    <s v="Rosedale Counter"/>
    <x v="0"/>
    <s v="BCV002F5 C / Allied Medical Enrolled"/>
    <n v="4.24"/>
  </r>
  <r>
    <s v="Clocker, Robert A"/>
    <s v="Rosedale Counter"/>
    <x v="0"/>
    <s v="PPO0016X C, BCV002F5 C, CAPC972C C"/>
    <n v="480.29"/>
  </r>
  <r>
    <s v="Netro, Nicholas"/>
    <s v="Rosedale Counter"/>
    <x v="0"/>
    <s v="BCV002F5 C / Allied Medical Enrolled"/>
    <n v="4.24"/>
  </r>
  <r>
    <s v="Reno, Logan V"/>
    <s v="Rosedale Counter"/>
    <x v="0"/>
    <s v="BCV002F5 C / Allied Medical Enrolled"/>
    <n v="4.24"/>
  </r>
  <r>
    <s v="Whinnery, Andrew J"/>
    <s v="Rosedale Counter"/>
    <x v="0"/>
    <s v="BCV002F5 C / Allied Medical Enrolled"/>
    <n v="4.24"/>
  </r>
  <r>
    <m/>
    <m/>
    <x v="1"/>
    <m/>
    <m/>
  </r>
  <r>
    <s v="Maddy, Berman"/>
    <s v="Arbutus Counter"/>
    <x v="2"/>
    <s v="PPO0016X A, BCV002F5 A, CAPC972C A"/>
    <n v="1398.1"/>
  </r>
  <r>
    <s v="Smith, Timothy"/>
    <s v="Arbutus Counter"/>
    <x v="2"/>
    <s v="BCV002F5C / Allied Medical Enrolled"/>
    <n v="4.24"/>
  </r>
  <r>
    <m/>
    <m/>
    <x v="1"/>
    <m/>
    <m/>
  </r>
  <r>
    <s v="Brech, Matthew S"/>
    <s v="Lancaster Counter"/>
    <x v="3"/>
    <s v="PPO0016X A, BCV002F5 A, CAPC972C A"/>
    <n v="1011.55"/>
  </r>
  <r>
    <s v="Fisher, Ian J"/>
    <s v="Lancaster Counter"/>
    <x v="3"/>
    <s v=" BCV002F5 A / Allied Medical Enrolled"/>
    <n v="11.83"/>
  </r>
  <r>
    <s v="Sweeney, Nicholas T"/>
    <s v="Lancaster Counter"/>
    <x v="3"/>
    <s v="PPO0016X B, BCV002F5 B, CAPC972C B"/>
    <n v="1063.9100000000001"/>
  </r>
  <r>
    <s v="Wike, Sean"/>
    <s v="Lancaster Counter"/>
    <x v="3"/>
    <s v="Vision Waived / PPO0016X C, CAPC972C C"/>
    <n v="476.05"/>
  </r>
  <r>
    <m/>
    <m/>
    <x v="1"/>
    <m/>
    <m/>
  </r>
  <r>
    <s v="Hill, Carlos J"/>
    <s v="Alexandria Counter"/>
    <x v="4"/>
    <s v="BCV002F5 C / Allied Medical Enrolled"/>
    <n v="4.24"/>
  </r>
  <r>
    <s v="Monteaux, D"/>
    <s v="Alexandria Counter"/>
    <x v="4"/>
    <s v="BCV002F5 C / Allied Medical Enrolled"/>
    <n v="4.24"/>
  </r>
  <r>
    <s v="Payne, Jacob T"/>
    <s v="Alexandria Counter"/>
    <x v="4"/>
    <s v="BCV002F5 A / Allied Medical Enrolled"/>
    <n v="11.83"/>
  </r>
  <r>
    <s v="Tevalan Fajardo, Jackson S"/>
    <s v="Alexandria Counter"/>
    <x v="4"/>
    <s v="BCV002F5 C / Allied Medical Enrolled"/>
    <n v="4.24"/>
  </r>
  <r>
    <s v="Walton, James D"/>
    <s v="Alexandria Counter"/>
    <x v="4"/>
    <s v="PPO0016X C, BCV002F5 C, CAPC972C C"/>
    <n v="480.29"/>
  </r>
  <r>
    <m/>
    <m/>
    <x v="1"/>
    <m/>
    <m/>
  </r>
  <r>
    <s v="Diate, Ryan"/>
    <s v="Gainesville Counter"/>
    <x v="5"/>
    <s v=" BCV002F5 A / Allied Medical Enrolled"/>
    <n v="11.83"/>
  </r>
  <r>
    <s v="Williams, Corey L"/>
    <s v="Gainesville Counter"/>
    <x v="5"/>
    <s v=" BCV002F5 A / Allied Medical Enrolled"/>
    <n v="11.83"/>
  </r>
  <r>
    <m/>
    <m/>
    <x v="1"/>
    <m/>
    <m/>
  </r>
  <r>
    <s v="Bergen, Daniel L"/>
    <s v="Gaithersburg Counter"/>
    <x v="6"/>
    <s v="BCV002F5 C"/>
    <n v="4.24"/>
  </r>
  <r>
    <s v="Garcia, Paola"/>
    <s v="Gaithersburg Counter"/>
    <x v="6"/>
    <s v="PPO0016X C,BCV002F5 C,CAPC972C C"/>
    <n v="480.29"/>
  </r>
  <r>
    <s v="Granados, Reyneris"/>
    <s v="Gaithersburg Counter"/>
    <x v="6"/>
    <s v="PPO0016X C,BCV002F5 C,CAPC972C C"/>
    <n v="480.29"/>
  </r>
  <r>
    <s v="Hoes, Robert L"/>
    <s v="Gaithersburg Counter"/>
    <x v="6"/>
    <s v="BCV002F5 C / Allied Medical Enrolled"/>
    <n v="4.24"/>
  </r>
  <r>
    <s v="Myers, Jonathan D"/>
    <s v="Gaithersburg Counter"/>
    <x v="6"/>
    <s v="BCV002F5 C / Allied Medical Enrolled"/>
    <n v="4.24"/>
  </r>
  <r>
    <m/>
    <m/>
    <x v="1"/>
    <m/>
    <m/>
  </r>
  <r>
    <s v="Wallace, Eric J"/>
    <s v="Executive W"/>
    <x v="7"/>
    <s v="BCV002F5 B / Allied Medical Enrolled"/>
    <n v="11.83"/>
  </r>
  <r>
    <m/>
    <m/>
    <x v="1"/>
    <m/>
    <m/>
  </r>
  <r>
    <s v="Green, Michael C"/>
    <s v="Operations Manager"/>
    <x v="8"/>
    <s v="PPO0016X A, BCV002F5 A, CAPC972C A"/>
    <n v="1398.1"/>
  </r>
  <r>
    <m/>
    <m/>
    <x v="1"/>
    <m/>
    <m/>
  </r>
  <r>
    <s v="Lehman, Nicholous W"/>
    <s v="Tech Support"/>
    <x v="9"/>
    <s v="PPO0016X A, BCV002F5 A, CAPC972C A"/>
    <n v="1398.1"/>
  </r>
  <r>
    <m/>
    <m/>
    <x v="1"/>
    <m/>
    <m/>
  </r>
  <r>
    <s v="Suskin, Michael H"/>
    <s v="Arbutus Outside Sales"/>
    <x v="10"/>
    <s v="PPO0016X C, BCV002F5 C, CAPC972C C"/>
    <n v="480.29"/>
  </r>
  <r>
    <s v="Tabor, William E"/>
    <s v="Arbutus Outside Sales"/>
    <x v="10"/>
    <s v=" BCV002F5 B / Allied Medical Enrolled"/>
    <n v="11.83"/>
  </r>
  <r>
    <m/>
    <m/>
    <x v="1"/>
    <m/>
    <m/>
  </r>
  <r>
    <s v="Schell, John R"/>
    <s v="Lancaster Outside Sales"/>
    <x v="11"/>
    <s v="BCV002F5 A / Allied Medical Enrolled"/>
    <n v="11.83"/>
  </r>
  <r>
    <m/>
    <m/>
    <x v="1"/>
    <m/>
    <m/>
  </r>
  <r>
    <s v="McGrath, Mark P"/>
    <s v="Alexandria Outside Sales"/>
    <x v="12"/>
    <s v="BCV002F5 B / Allied Medical Enrolled"/>
    <n v="11.83"/>
  </r>
  <r>
    <m/>
    <m/>
    <x v="1"/>
    <m/>
    <m/>
  </r>
  <r>
    <s v="Lutz, William J"/>
    <s v="Gainesville Outside Sales"/>
    <x v="13"/>
    <s v="BCV002F5 A / Allied Medical Enrolled"/>
    <n v="11.83"/>
  </r>
  <r>
    <m/>
    <m/>
    <x v="1"/>
    <m/>
    <m/>
  </r>
  <r>
    <s v="Reynolds, Lynda T"/>
    <s v="Gaithersburg Outside Sales"/>
    <x v="14"/>
    <s v="PPO0016X C, CAPC972C C"/>
    <n v="480.29"/>
  </r>
  <r>
    <m/>
    <m/>
    <x v="1"/>
    <m/>
    <m/>
  </r>
  <r>
    <s v="Brech, Matthew S"/>
    <s v="Lancaster Counter"/>
    <x v="3"/>
    <s v="Retroactive adjustment"/>
    <n v="-386.55"/>
  </r>
  <r>
    <m/>
    <m/>
    <x v="1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64">
  <r>
    <s v="ADAMKO,"/>
    <s v="COURTNEY"/>
    <n v="0"/>
    <n v="0"/>
    <n v="0"/>
    <n v="0"/>
    <s v="ADAMKO, COURTNEY"/>
    <x v="0"/>
  </r>
  <r>
    <s v="ALBRIGHT,"/>
    <s v="SUZANNE"/>
    <n v="114.7"/>
    <n v="140.59"/>
    <n v="25.94"/>
    <n v="281.23"/>
    <s v="ALBRIGHT, SUZANNE"/>
    <x v="1"/>
  </r>
  <r>
    <s v="BAILEY,"/>
    <s v="JASON"/>
    <n v="114.7"/>
    <n v="140.59"/>
    <n v="25.94"/>
    <n v="281.23"/>
    <s v="BAILEY, JASON"/>
    <x v="2"/>
  </r>
  <r>
    <s v="BAILEY,"/>
    <s v="RICHARD"/>
    <n v="114.7"/>
    <n v="140.59"/>
    <n v="25.94"/>
    <n v="281.23"/>
    <s v="BAILEY, RICHARD"/>
    <x v="3"/>
  </r>
  <r>
    <s v="BERGEN,"/>
    <s v="DANIEL"/>
    <n v="114.7"/>
    <n v="140.59"/>
    <n v="25.94"/>
    <n v="281.23"/>
    <s v="BERGEN, DANIEL"/>
    <x v="4"/>
  </r>
  <r>
    <s v="CASTRO,"/>
    <s v="ELOY"/>
    <n v="114.7"/>
    <n v="140.59"/>
    <n v="25.94"/>
    <n v="281.23"/>
    <s v="CASTRO, ELOY"/>
    <x v="5"/>
  </r>
  <r>
    <s v="DAVIS,"/>
    <s v="NEIL"/>
    <n v="114.7"/>
    <n v="140.59"/>
    <n v="25.94"/>
    <n v="281.23"/>
    <s v="DAVIS, NEIL"/>
    <x v="6"/>
  </r>
  <r>
    <s v="DIATE,"/>
    <s v="RYAN"/>
    <n v="378.5"/>
    <n v="463.92"/>
    <n v="85.57"/>
    <n v="927.99"/>
    <s v="DIATE, RYAN"/>
    <x v="7"/>
  </r>
  <r>
    <s v="FERNANDES,"/>
    <s v="SEON"/>
    <n v="378.5"/>
    <n v="463.92"/>
    <n v="85.57"/>
    <n v="927.99"/>
    <s v="FERNANDES, SEON"/>
    <x v="7"/>
  </r>
  <r>
    <s v="FISHER,"/>
    <s v="IAN"/>
    <n v="378.5"/>
    <n v="463.92"/>
    <n v="85.57"/>
    <n v="927.99"/>
    <s v="FISHER, IAN"/>
    <x v="8"/>
  </r>
  <r>
    <s v="GREEN,"/>
    <s v="BRIAN"/>
    <n v="378.5"/>
    <n v="463.92"/>
    <n v="85.57"/>
    <n v="927.99"/>
    <s v="GREEN, BRIAN"/>
    <x v="9"/>
  </r>
  <r>
    <s v="GREEN,"/>
    <s v="JEFFREY"/>
    <n v="292.48"/>
    <n v="358.49"/>
    <n v="66.13"/>
    <n v="717.1"/>
    <s v="GREEN, JEFFREY"/>
    <x v="10"/>
  </r>
  <r>
    <s v="HILL,"/>
    <s v="CARLOS"/>
    <n v="114.7"/>
    <n v="140.59"/>
    <n v="25.94"/>
    <n v="281.23"/>
    <s v="HILL, CARLOS"/>
    <x v="5"/>
  </r>
  <r>
    <s v="HOES,"/>
    <s v="ROBERT"/>
    <n v="114.7"/>
    <n v="140.59"/>
    <n v="25.94"/>
    <n v="281.23"/>
    <s v="HOES, ROBERT"/>
    <x v="4"/>
  </r>
  <r>
    <s v="HORN,"/>
    <s v="THOMAS"/>
    <n v="114.7"/>
    <n v="140.59"/>
    <n v="25.94"/>
    <n v="281.23"/>
    <s v="HORN, THOMAS"/>
    <x v="11"/>
  </r>
  <r>
    <s v="LUTZ,"/>
    <s v="WILLIAM"/>
    <n v="378.5"/>
    <n v="463.92"/>
    <n v="85.57"/>
    <n v="927.99"/>
    <s v="LUTZ, WILLIAM"/>
    <x v="12"/>
  </r>
  <r>
    <s v="MACKENZIE,"/>
    <s v="KATELYN"/>
    <n v="114.7"/>
    <n v="140.59"/>
    <n v="25.94"/>
    <n v="281.23"/>
    <s v="MACKENZIE, KATELYN"/>
    <x v="11"/>
  </r>
  <r>
    <s v="MARTIN,"/>
    <s v="LISA"/>
    <n v="223.66"/>
    <n v="274.14"/>
    <n v="50.57"/>
    <n v="548.37"/>
    <s v="MARTIN, LISA"/>
    <x v="6"/>
  </r>
  <r>
    <s v="MARTIN,"/>
    <s v="MICHAEL"/>
    <n v="114.7"/>
    <n v="140.59"/>
    <n v="25.94"/>
    <n v="281.23"/>
    <s v="MARTIN, MICHAEL"/>
    <x v="13"/>
  </r>
  <r>
    <s v="MCGRATH,"/>
    <s v="MARK"/>
    <n v="292.48"/>
    <n v="358.49"/>
    <n v="66.13"/>
    <n v="717.1"/>
    <s v="MCGRATH, MARK"/>
    <x v="14"/>
  </r>
  <r>
    <s v="MCKIBBIN,"/>
    <s v="HELEN"/>
    <n v="114.7"/>
    <n v="140.59"/>
    <n v="25.94"/>
    <n v="281.23"/>
    <s v="MCKIBBIN, HELEN"/>
    <x v="15"/>
  </r>
  <r>
    <s v="MILLER,"/>
    <s v="JESSE"/>
    <n v="114.7"/>
    <n v="140.59"/>
    <n v="25.94"/>
    <n v="281.23"/>
    <s v="MILLER, JESSE"/>
    <x v="3"/>
  </r>
  <r>
    <s v="MOHLER,"/>
    <s v="GARRETT"/>
    <n v="114.7"/>
    <n v="140.59"/>
    <n v="25.94"/>
    <n v="281.23"/>
    <s v="MOHLER, GARRETT"/>
    <x v="16"/>
  </r>
  <r>
    <s v="MONDILLO,"/>
    <s v="ANTHONY"/>
    <n v="114.7"/>
    <n v="140.59"/>
    <n v="25.94"/>
    <n v="281.23"/>
    <s v="MONDILLO, ANTHONY"/>
    <x v="11"/>
  </r>
  <r>
    <s v="MONTEAUX,"/>
    <s v="DAVID"/>
    <n v="114.7"/>
    <n v="140.59"/>
    <n v="25.94"/>
    <n v="281.23"/>
    <s v="MONTEAUX, DAVID"/>
    <x v="5"/>
  </r>
  <r>
    <s v="MYERS,"/>
    <s v="JONATHAN"/>
    <n v="114.7"/>
    <n v="140.59"/>
    <n v="25.94"/>
    <n v="281.23"/>
    <s v="MYERS, JONATHAN"/>
    <x v="4"/>
  </r>
  <r>
    <s v="NETRO,"/>
    <s v="NICHOLAS"/>
    <n v="114.7"/>
    <n v="140.59"/>
    <n v="25.94"/>
    <n v="281.23"/>
    <s v="NETRO, NICHOLAS"/>
    <x v="2"/>
  </r>
  <r>
    <s v="NIEVES,"/>
    <s v="PASCUAL"/>
    <n v="114.7"/>
    <n v="140.59"/>
    <n v="25.94"/>
    <n v="281.23"/>
    <s v="NIEVES, PASCUAL"/>
    <x v="3"/>
  </r>
  <r>
    <s v="OKONSKI,"/>
    <s v="ZAC"/>
    <n v="114.7"/>
    <n v="140.59"/>
    <n v="25.94"/>
    <n v="281.23"/>
    <s v="OKONSKI, ZAC"/>
    <x v="6"/>
  </r>
  <r>
    <s v="PAYNE,"/>
    <s v="JACOB"/>
    <n v="378.5"/>
    <n v="463.92"/>
    <n v="85.57"/>
    <n v="927.99"/>
    <s v="PAYNE, JACOB"/>
    <x v="5"/>
  </r>
  <r>
    <s v="RENO,"/>
    <s v="LOGAN"/>
    <n v="114.7"/>
    <n v="140.59"/>
    <n v="25.94"/>
    <n v="281.23"/>
    <s v="RENO, LOGAN"/>
    <x v="2"/>
  </r>
  <r>
    <s v="RIVERA,"/>
    <s v="PAUL"/>
    <n v="292.48"/>
    <n v="358.49"/>
    <n v="66.13"/>
    <n v="717.1"/>
    <s v="RIVERA, PAUL"/>
    <x v="6"/>
  </r>
  <r>
    <s v="ROTZ,"/>
    <s v="JAIME"/>
    <n v="292.48"/>
    <n v="358.49"/>
    <n v="66.13"/>
    <n v="717.1"/>
    <s v="ROTZ, JAIME"/>
    <x v="3"/>
  </r>
  <r>
    <s v="SANDERS,"/>
    <s v="JEFFREY"/>
    <n v="114.7"/>
    <n v="140.59"/>
    <n v="25.94"/>
    <n v="281.23"/>
    <s v="SANDERS, JEFFREY"/>
    <x v="11"/>
  </r>
  <r>
    <s v="SCHELL,"/>
    <s v="JOHN"/>
    <n v="378.5"/>
    <n v="463.92"/>
    <n v="85.57"/>
    <n v="927.99"/>
    <s v="SCHELL, JOHN"/>
    <x v="17"/>
  </r>
  <r>
    <s v="SMITH,"/>
    <s v="TIMOTHY"/>
    <n v="114.7"/>
    <n v="140.59"/>
    <n v="25.94"/>
    <n v="281.23"/>
    <s v="SMITH, TIMOTHY"/>
    <x v="16"/>
  </r>
  <r>
    <s v="TABOR,"/>
    <s v="WILLIAM"/>
    <n v="292.48"/>
    <n v="358.49"/>
    <n v="66.13"/>
    <n v="717.1"/>
    <s v="TABOR, WILLIAM"/>
    <x v="18"/>
  </r>
  <r>
    <s v="TEVALAN,"/>
    <s v="JACKSON"/>
    <n v="114.7"/>
    <n v="140.59"/>
    <n v="25.94"/>
    <n v="281.23"/>
    <s v="TEVALAN, JACKSON"/>
    <x v="5"/>
  </r>
  <r>
    <s v="VAIL,"/>
    <s v="ALLISON"/>
    <n v="114.7"/>
    <n v="140.59"/>
    <n v="25.94"/>
    <n v="281.23"/>
    <s v="VAIL, ALLISON"/>
    <x v="0"/>
  </r>
  <r>
    <s v="WAGNER,"/>
    <s v="JULIANA"/>
    <n v="223.66"/>
    <n v="274.14"/>
    <n v="50.57"/>
    <n v="548.37"/>
    <s v="WAGNER, JULIANA"/>
    <x v="0"/>
  </r>
  <r>
    <s v="WALKER,"/>
    <s v="CHRISTOPHER"/>
    <n v="114.7"/>
    <n v="140.59"/>
    <n v="25.94"/>
    <n v="281.23"/>
    <s v="WALKER, CHRISTOPHER"/>
    <x v="7"/>
  </r>
  <r>
    <s v="WALLACE,"/>
    <s v="CRAIG"/>
    <n v="378.5"/>
    <n v="463.92"/>
    <n v="85.57"/>
    <n v="927.99"/>
    <s v="WALLACE, CRAIG"/>
    <x v="10"/>
  </r>
  <r>
    <s v="WALLACE,"/>
    <s v="ERIC"/>
    <n v="292.48"/>
    <n v="358.49"/>
    <n v="66.13"/>
    <n v="717.1"/>
    <s v="WALLACE, ERIC"/>
    <x v="19"/>
  </r>
  <r>
    <s v="WHINNERY,"/>
    <s v="ANDREW"/>
    <n v="378.5"/>
    <n v="463.92"/>
    <n v="85.57"/>
    <n v="927.99"/>
    <s v="WHINNERY, ANDREW"/>
    <x v="2"/>
  </r>
  <r>
    <s v="WILLIAMS,"/>
    <s v="COREY"/>
    <n v="378.5"/>
    <n v="463.92"/>
    <n v="85.57"/>
    <n v="927.99"/>
    <s v="WILLIAMS, COREY"/>
    <x v="7"/>
  </r>
  <r>
    <s v="WINGLER,"/>
    <s v="TRACY"/>
    <n v="0"/>
    <n v="0"/>
    <n v="0"/>
    <n v="0"/>
    <s v="WINGLER, TRACY"/>
    <x v="8"/>
  </r>
  <r>
    <s v="ADAMKO,"/>
    <s v="COURTNEY"/>
    <n v="-223.66"/>
    <n v="-274.14"/>
    <n v="-50.57"/>
    <n v="-548.37"/>
    <s v="ADAMKO, COURTNEY"/>
    <x v="0"/>
  </r>
  <r>
    <s v="MILLER,"/>
    <s v="JESSE"/>
    <n v="114.7"/>
    <n v="140.59"/>
    <n v="25.94"/>
    <n v="281.23"/>
    <s v="MILLER, JESSE"/>
    <x v="3"/>
  </r>
  <r>
    <s v="MILLER,"/>
    <s v="JESSE"/>
    <n v="-292.48"/>
    <n v="-358.49"/>
    <n v="-66.13"/>
    <n v="-717.1"/>
    <s v="MILLER, JESSE"/>
    <x v="3"/>
  </r>
  <r>
    <s v="ADAMKO,"/>
    <s v="COURTNEY"/>
    <n v="-223.66"/>
    <n v="-274.14"/>
    <n v="-50.57"/>
    <n v="-548.37"/>
    <s v="ADAMKO, COURTNEY"/>
    <x v="0"/>
  </r>
  <r>
    <s v="BAILEY,"/>
    <s v="RICHARD"/>
    <n v="114.7"/>
    <n v="140.59"/>
    <n v="25.94"/>
    <n v="281.23"/>
    <s v="BAILEY, RICHARD"/>
    <x v="3"/>
  </r>
  <r>
    <s v="DIATE,"/>
    <s v="RYAN"/>
    <n v="378.5"/>
    <n v="463.92"/>
    <n v="85.57"/>
    <n v="927.99"/>
    <s v="DIATE, RYAN"/>
    <x v="7"/>
  </r>
  <r>
    <s v="MILLER,"/>
    <s v="JESSE"/>
    <n v="114.7"/>
    <n v="140.59"/>
    <n v="25.94"/>
    <n v="281.23"/>
    <s v="MILLER, JESSE"/>
    <x v="3"/>
  </r>
  <r>
    <s v="MILLER,"/>
    <s v="JESSE"/>
    <n v="-292.48"/>
    <n v="-358.49"/>
    <n v="-66.13"/>
    <n v="-717.1"/>
    <s v="MILLER, JESSE"/>
    <x v="3"/>
  </r>
  <r>
    <s v="RIVERA,"/>
    <s v="PAUL"/>
    <n v="292.48"/>
    <n v="358.49"/>
    <n v="66.13"/>
    <n v="717.1"/>
    <s v="RIVERA, PAUL"/>
    <x v="6"/>
  </r>
  <r>
    <s v="WINGLER,"/>
    <s v="TRACY"/>
    <n v="-114.7"/>
    <n v="-140.59"/>
    <n v="-25.94"/>
    <n v="-281.23"/>
    <s v="WINGLER, TRACY"/>
    <x v="8"/>
  </r>
  <r>
    <s v="ADAMKO,"/>
    <s v="COURTNEY"/>
    <n v="-223.66"/>
    <n v="-274.14"/>
    <n v="-50.57"/>
    <n v="-548.37"/>
    <s v="ADAMKO, COURTNEY"/>
    <x v="0"/>
  </r>
  <r>
    <s v="BAILEY,"/>
    <s v="RICHARD"/>
    <n v="114.7"/>
    <n v="140.59"/>
    <n v="25.94"/>
    <n v="281.23"/>
    <s v="BAILEY, RICHARD"/>
    <x v="3"/>
  </r>
  <r>
    <s v="DIATE,"/>
    <s v="RYAN"/>
    <n v="378.5"/>
    <n v="463.92"/>
    <n v="85.57"/>
    <n v="927.99"/>
    <s v="DIATE, RYAN"/>
    <x v="7"/>
  </r>
  <r>
    <s v="MILLER,"/>
    <s v="JESSE"/>
    <n v="114.7"/>
    <n v="140.59"/>
    <n v="25.94"/>
    <n v="281.23"/>
    <s v="MILLER, JESSE"/>
    <x v="3"/>
  </r>
  <r>
    <s v="MILLER,"/>
    <s v="JESSE"/>
    <n v="-292.48"/>
    <n v="-358.49"/>
    <n v="-66.13"/>
    <n v="-717.1"/>
    <s v="MILLER, JESSE"/>
    <x v="3"/>
  </r>
  <r>
    <s v="RIVERA,"/>
    <s v="PAUL"/>
    <n v="292.48"/>
    <n v="358.49"/>
    <n v="66.13"/>
    <n v="717.1"/>
    <s v="RIVERA, PAUL"/>
    <x v="6"/>
  </r>
  <r>
    <s v="WINGLER,"/>
    <s v="TRACY"/>
    <n v="-114.7"/>
    <n v="-140.59"/>
    <n v="-25.94"/>
    <n v="-281.23"/>
    <s v="WINGLER, TRACY"/>
    <x v="8"/>
  </r>
  <r>
    <m/>
    <m/>
    <n v="9107.0399999999991"/>
    <n v="11162.460000000005"/>
    <n v="2059.1800000000012"/>
    <n v="22328.68"/>
    <m/>
    <x v="2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47">
  <r>
    <s v="Chwasty, David"/>
    <s v="Easton Counter"/>
    <n v="11"/>
    <m/>
    <n v="1.5"/>
    <m/>
    <x v="0"/>
    <x v="0"/>
  </r>
  <r>
    <s v="Clymer, Frank"/>
    <s v="Easton Counter"/>
    <n v="11"/>
    <m/>
    <n v="1.5"/>
    <m/>
    <x v="0"/>
    <x v="0"/>
  </r>
  <r>
    <s v="Dilan, John"/>
    <s v="Easton Counter"/>
    <n v="11"/>
    <m/>
    <n v="1.5"/>
    <m/>
    <x v="0"/>
    <x v="0"/>
  </r>
  <r>
    <s v="Horn, Thomas"/>
    <s v="Easton Counter"/>
    <n v="7.15"/>
    <m/>
    <n v="0.98"/>
    <m/>
    <x v="0"/>
    <x v="1"/>
  </r>
  <r>
    <s v="Mackenzie, Katelyn"/>
    <s v="Easton Counter"/>
    <n v="11"/>
    <m/>
    <n v="1.5"/>
    <m/>
    <x v="0"/>
    <x v="0"/>
  </r>
  <r>
    <s v="Mondillo, Anthony"/>
    <s v="Easton Counter"/>
    <n v="11"/>
    <m/>
    <n v="1.5"/>
    <m/>
    <x v="0"/>
    <x v="0"/>
  </r>
  <r>
    <s v="Sanders, Jeffrey"/>
    <s v="Easton Counter"/>
    <n v="11"/>
    <m/>
    <n v="1.5"/>
    <m/>
    <x v="0"/>
    <x v="0"/>
  </r>
  <r>
    <s v="Stigura, Matthew"/>
    <s v="Easton Counter"/>
    <n v="11"/>
    <m/>
    <n v="1.5"/>
    <m/>
    <x v="0"/>
    <x v="0"/>
  </r>
  <r>
    <m/>
    <m/>
    <m/>
    <m/>
    <m/>
    <m/>
    <x v="1"/>
    <x v="2"/>
  </r>
  <r>
    <s v="Davis, Neil"/>
    <s v="Reading Counter"/>
    <n v="11"/>
    <m/>
    <n v="1.5"/>
    <m/>
    <x v="2"/>
    <x v="0"/>
  </r>
  <r>
    <s v="Etchberger, Troy"/>
    <s v="Reading Counter"/>
    <n v="11"/>
    <m/>
    <n v="1.5"/>
    <m/>
    <x v="2"/>
    <x v="0"/>
  </r>
  <r>
    <s v="Kochel, Sanford"/>
    <s v="Reading Counter"/>
    <n v="11"/>
    <m/>
    <n v="1.5"/>
    <m/>
    <x v="2"/>
    <x v="0"/>
  </r>
  <r>
    <s v="Martin, Lisa"/>
    <s v="Reading Counter"/>
    <n v="11"/>
    <m/>
    <n v="1.5"/>
    <m/>
    <x v="2"/>
    <x v="0"/>
  </r>
  <r>
    <s v="Okonski, Zachary"/>
    <s v="Reading Counter"/>
    <n v="11"/>
    <m/>
    <n v="1.5"/>
    <m/>
    <x v="2"/>
    <x v="0"/>
  </r>
  <r>
    <s v="Rockwell, Matthew"/>
    <s v="Reading Counter"/>
    <n v="11"/>
    <m/>
    <n v="1.5"/>
    <m/>
    <x v="2"/>
    <x v="0"/>
  </r>
  <r>
    <s v="Schell, David"/>
    <s v="Reading Counter"/>
    <n v="11"/>
    <m/>
    <n v="1.5"/>
    <m/>
    <x v="2"/>
    <x v="0"/>
  </r>
  <r>
    <m/>
    <m/>
    <m/>
    <m/>
    <m/>
    <m/>
    <x v="1"/>
    <x v="2"/>
  </r>
  <r>
    <s v="Miller, Jesse"/>
    <s v="Harrisburg Counter"/>
    <n v="11"/>
    <m/>
    <n v="1.5"/>
    <m/>
    <x v="3"/>
    <x v="0"/>
  </r>
  <r>
    <s v="Nieves, Rascual"/>
    <s v="Harrisburg Counter"/>
    <n v="11"/>
    <m/>
    <n v="1.5"/>
    <m/>
    <x v="3"/>
    <x v="0"/>
  </r>
  <r>
    <s v="Rotz, Jaime"/>
    <s v="Harrisburg Counter"/>
    <n v="11"/>
    <m/>
    <n v="1.5"/>
    <m/>
    <x v="3"/>
    <x v="0"/>
  </r>
  <r>
    <s v="Summers. Ryan"/>
    <s v="Harrisburg Counter"/>
    <n v="11"/>
    <m/>
    <n v="1.5"/>
    <m/>
    <x v="3"/>
    <x v="0"/>
  </r>
  <r>
    <s v="Sweeney, Nicholas"/>
    <s v="Harrisburg Counter"/>
    <n v="11"/>
    <m/>
    <n v="1.5"/>
    <m/>
    <x v="4"/>
    <x v="0"/>
  </r>
  <r>
    <s v="Terlep, Chad"/>
    <s v="Harrisburg Counter"/>
    <n v="11"/>
    <m/>
    <n v="1.5"/>
    <m/>
    <x v="3"/>
    <x v="0"/>
  </r>
  <r>
    <s v="Young, Mark"/>
    <s v="Harrisburg Counter"/>
    <n v="11"/>
    <m/>
    <n v="1.5"/>
    <m/>
    <x v="3"/>
    <x v="0"/>
  </r>
  <r>
    <m/>
    <m/>
    <m/>
    <m/>
    <m/>
    <m/>
    <x v="1"/>
    <x v="2"/>
  </r>
  <r>
    <s v="Adamko, Courtney"/>
    <s v="Office"/>
    <n v="11"/>
    <m/>
    <n v="1.5"/>
    <m/>
    <x v="5"/>
    <x v="0"/>
  </r>
  <r>
    <s v="Bengel, Allison"/>
    <s v="Office"/>
    <n v="11"/>
    <m/>
    <n v="1.5"/>
    <m/>
    <x v="5"/>
    <x v="0"/>
  </r>
  <r>
    <s v="Crawford, Jamie"/>
    <s v="Office"/>
    <n v="11"/>
    <m/>
    <n v="1.5"/>
    <m/>
    <x v="5"/>
    <x v="0"/>
  </r>
  <r>
    <s v="Hunt, Marianne"/>
    <s v="Office"/>
    <n v="7.15"/>
    <m/>
    <n v="0.98"/>
    <m/>
    <x v="5"/>
    <x v="1"/>
  </r>
  <r>
    <s v="Larison, Stacey"/>
    <s v="Office"/>
    <n v="11"/>
    <m/>
    <n v="1.5"/>
    <m/>
    <x v="5"/>
    <x v="0"/>
  </r>
  <r>
    <s v="Rutt, Karen"/>
    <s v="Office"/>
    <n v="11"/>
    <m/>
    <n v="1.5"/>
    <m/>
    <x v="5"/>
    <x v="0"/>
  </r>
  <r>
    <s v="Vail, Allison"/>
    <s v="Office"/>
    <n v="11"/>
    <m/>
    <n v="1.5"/>
    <m/>
    <x v="5"/>
    <x v="0"/>
  </r>
  <r>
    <s v="Wagner, Juliana"/>
    <s v="Office"/>
    <n v="11"/>
    <m/>
    <n v="1.5"/>
    <m/>
    <x v="5"/>
    <x v="0"/>
  </r>
  <r>
    <m/>
    <m/>
    <m/>
    <m/>
    <m/>
    <m/>
    <x v="1"/>
    <x v="2"/>
  </r>
  <r>
    <s v="McKibbin, Helen"/>
    <s v="Office"/>
    <n v="11"/>
    <m/>
    <n v="1.5"/>
    <m/>
    <x v="6"/>
    <x v="0"/>
  </r>
  <r>
    <m/>
    <m/>
    <m/>
    <m/>
    <m/>
    <m/>
    <x v="1"/>
    <x v="2"/>
  </r>
  <r>
    <s v="Albright, Suzanne"/>
    <s v="Store Support Ops"/>
    <n v="11"/>
    <m/>
    <n v="1.5"/>
    <m/>
    <x v="7"/>
    <x v="0"/>
  </r>
  <r>
    <m/>
    <m/>
    <m/>
    <m/>
    <m/>
    <m/>
    <x v="1"/>
    <x v="2"/>
  </r>
  <r>
    <s v="Green, Jeff"/>
    <s v="Executive "/>
    <n v="11"/>
    <m/>
    <n v="1.5"/>
    <m/>
    <x v="8"/>
    <x v="0"/>
  </r>
  <r>
    <s v="Wallace, Craig"/>
    <s v="Executive "/>
    <n v="11"/>
    <m/>
    <n v="1.5"/>
    <m/>
    <x v="8"/>
    <x v="0"/>
  </r>
  <r>
    <s v="Wallace, Herman"/>
    <s v="Executive "/>
    <n v="7.15"/>
    <m/>
    <n v="0.98"/>
    <m/>
    <x v="8"/>
    <x v="1"/>
  </r>
  <r>
    <m/>
    <m/>
    <m/>
    <m/>
    <m/>
    <m/>
    <x v="1"/>
    <x v="2"/>
  </r>
  <r>
    <s v="Spradlin, Aaron"/>
    <s v="Easton Outside Sales"/>
    <n v="11"/>
    <m/>
    <n v="1.5"/>
    <m/>
    <x v="9"/>
    <x v="0"/>
  </r>
  <r>
    <m/>
    <m/>
    <m/>
    <m/>
    <m/>
    <m/>
    <x v="1"/>
    <x v="2"/>
  </r>
  <r>
    <s v="Green, Brian"/>
    <s v="Reading Outside Sales"/>
    <n v="11"/>
    <m/>
    <n v="1.5"/>
    <m/>
    <x v="10"/>
    <x v="0"/>
  </r>
  <r>
    <m/>
    <m/>
    <m/>
    <m/>
    <m/>
    <m/>
    <x v="1"/>
    <x v="2"/>
  </r>
  <r>
    <s v="Snyder, Matthew "/>
    <s v="Harrisburg Outside Sales"/>
    <n v="11"/>
    <m/>
    <n v="1.5"/>
    <m/>
    <x v="11"/>
    <x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61">
  <r>
    <s v="Clocker, Robert"/>
    <s v="Rosedale Counter"/>
    <n v="11"/>
    <m/>
    <n v="1.5"/>
    <m/>
    <x v="0"/>
    <n v="12.5"/>
  </r>
  <r>
    <s v="Netro, Nicholas"/>
    <s v="Rosedale Counter"/>
    <n v="11"/>
    <m/>
    <n v="1.5"/>
    <m/>
    <x v="0"/>
    <n v="12.5"/>
  </r>
  <r>
    <s v="Reno, Logan"/>
    <s v="Rosedale Counter"/>
    <n v="11"/>
    <m/>
    <n v="1.5"/>
    <m/>
    <x v="0"/>
    <n v="12.5"/>
  </r>
  <r>
    <s v="Whinnery, Andrew"/>
    <s v="Rosedale Counter"/>
    <n v="11"/>
    <m/>
    <n v="1.5"/>
    <m/>
    <x v="0"/>
    <n v="12.5"/>
  </r>
  <r>
    <m/>
    <m/>
    <m/>
    <m/>
    <m/>
    <m/>
    <x v="1"/>
    <m/>
  </r>
  <r>
    <s v="Allen, James"/>
    <s v="Arbutus Counter"/>
    <n v="11"/>
    <m/>
    <n v="1.5"/>
    <m/>
    <x v="2"/>
    <n v="12.5"/>
  </r>
  <r>
    <s v="Crumb, Lewis"/>
    <s v="Arbutus Counter"/>
    <n v="11"/>
    <m/>
    <n v="1.5"/>
    <m/>
    <x v="2"/>
    <n v="12.5"/>
  </r>
  <r>
    <s v="Maddy, Berman"/>
    <s v="Arbutus Counter"/>
    <n v="11"/>
    <m/>
    <n v="1.5"/>
    <m/>
    <x v="2"/>
    <n v="12.5"/>
  </r>
  <r>
    <s v="Mohler, Garrett"/>
    <s v="Arbutus Counter"/>
    <n v="11"/>
    <m/>
    <n v="1.5"/>
    <m/>
    <x v="2"/>
    <n v="12.5"/>
  </r>
  <r>
    <s v="Nellenback, Andrew"/>
    <s v="Arbutus Counter"/>
    <n v="11"/>
    <m/>
    <n v="1.5"/>
    <m/>
    <x v="2"/>
    <n v="12.5"/>
  </r>
  <r>
    <s v="Smith, Timothy"/>
    <s v="Arbutus Counter"/>
    <n v="11"/>
    <m/>
    <n v="1.5"/>
    <m/>
    <x v="2"/>
    <n v="12.5"/>
  </r>
  <r>
    <m/>
    <m/>
    <m/>
    <m/>
    <m/>
    <m/>
    <x v="1"/>
    <m/>
  </r>
  <r>
    <s v="Brech, Matthew"/>
    <s v="Lancaster Counter"/>
    <n v="11"/>
    <m/>
    <n v="1.5"/>
    <m/>
    <x v="3"/>
    <n v="12.5"/>
  </r>
  <r>
    <s v="Fisher, Ian"/>
    <s v="Lancaster Counter"/>
    <n v="11"/>
    <m/>
    <n v="1.5"/>
    <m/>
    <x v="3"/>
    <n v="12.5"/>
  </r>
  <r>
    <s v="Schell, Andrew"/>
    <s v="Lancaster Counter"/>
    <n v="11"/>
    <m/>
    <n v="1.5"/>
    <m/>
    <x v="3"/>
    <n v="12.5"/>
  </r>
  <r>
    <s v="Wike, Sean"/>
    <s v="Lancaster Counter"/>
    <n v="11"/>
    <m/>
    <n v="1.5"/>
    <m/>
    <x v="3"/>
    <n v="12.5"/>
  </r>
  <r>
    <m/>
    <m/>
    <m/>
    <m/>
    <m/>
    <m/>
    <x v="1"/>
    <m/>
  </r>
  <r>
    <s v="Castro, Eloy"/>
    <s v="Alexandria Counter"/>
    <n v="11"/>
    <m/>
    <n v="1.5"/>
    <m/>
    <x v="4"/>
    <n v="12.5"/>
  </r>
  <r>
    <s v="Hill, Carlos"/>
    <s v="Alexandria Counter"/>
    <n v="11"/>
    <m/>
    <n v="1.5"/>
    <m/>
    <x v="4"/>
    <n v="12.5"/>
  </r>
  <r>
    <s v="Monteaux, David"/>
    <s v="Alexandria Counter"/>
    <n v="11"/>
    <m/>
    <n v="1.5"/>
    <m/>
    <x v="4"/>
    <n v="12.5"/>
  </r>
  <r>
    <s v="Parrish, Antonio"/>
    <s v="Alexandria Counter"/>
    <n v="11"/>
    <m/>
    <n v="1.5"/>
    <m/>
    <x v="4"/>
    <n v="12.5"/>
  </r>
  <r>
    <s v="Payne, Jacob"/>
    <s v="Alexandria Counter"/>
    <n v="11"/>
    <m/>
    <n v="1.5"/>
    <m/>
    <x v="4"/>
    <n v="12.5"/>
  </r>
  <r>
    <s v="Tavalan Fajardo, Jackson"/>
    <s v="Alexandria Counter"/>
    <n v="11"/>
    <m/>
    <n v="1.5"/>
    <m/>
    <x v="4"/>
    <n v="12.5"/>
  </r>
  <r>
    <s v="Walton, James"/>
    <s v="Alexandria Counter"/>
    <n v="11"/>
    <m/>
    <n v="1.5"/>
    <m/>
    <x v="4"/>
    <n v="12.5"/>
  </r>
  <r>
    <m/>
    <m/>
    <m/>
    <m/>
    <m/>
    <m/>
    <x v="1"/>
    <m/>
  </r>
  <r>
    <s v="Carpenter Jr, Russell"/>
    <s v="Gainesville Counter"/>
    <n v="11"/>
    <m/>
    <n v="1.5"/>
    <m/>
    <x v="5"/>
    <n v="12.5"/>
  </r>
  <r>
    <s v="Fernandes, Seon"/>
    <s v="Gainesville Counter"/>
    <n v="11"/>
    <m/>
    <n v="1.5"/>
    <m/>
    <x v="5"/>
    <n v="12.5"/>
  </r>
  <r>
    <s v="Grooms, Shanae"/>
    <s v="Gainesville Counter"/>
    <n v="11"/>
    <m/>
    <n v="1.5"/>
    <m/>
    <x v="5"/>
    <n v="12.5"/>
  </r>
  <r>
    <s v="Malloch, Richard"/>
    <s v="Gainesville Counter"/>
    <n v="11"/>
    <m/>
    <n v="1.5"/>
    <m/>
    <x v="5"/>
    <n v="12.5"/>
  </r>
  <r>
    <s v="Settle, Kenneth"/>
    <s v="Gainesville Counter"/>
    <n v="11"/>
    <m/>
    <n v="1.5"/>
    <m/>
    <x v="5"/>
    <n v="12.5"/>
  </r>
  <r>
    <s v="Walker, Christopher"/>
    <s v="Gainesville Counter"/>
    <n v="11"/>
    <m/>
    <n v="1.5"/>
    <m/>
    <x v="5"/>
    <n v="12.5"/>
  </r>
  <r>
    <s v="Williams, Corey"/>
    <s v="Gainesville Counter"/>
    <n v="11"/>
    <m/>
    <n v="1.5"/>
    <m/>
    <x v="5"/>
    <n v="12.5"/>
  </r>
  <r>
    <m/>
    <m/>
    <m/>
    <m/>
    <m/>
    <m/>
    <x v="1"/>
    <m/>
  </r>
  <r>
    <s v="Bergen, Daniel"/>
    <s v="Gaithersburg Counter"/>
    <n v="11"/>
    <m/>
    <n v="1.5"/>
    <m/>
    <x v="6"/>
    <n v="12.5"/>
  </r>
  <r>
    <s v="Cheeks, Antione"/>
    <s v="Gaithersburg Counter"/>
    <n v="11"/>
    <m/>
    <n v="1.5"/>
    <m/>
    <x v="6"/>
    <n v="12.5"/>
  </r>
  <r>
    <s v="Garcia, Paola"/>
    <s v="Gaithersburg Counter"/>
    <n v="11"/>
    <m/>
    <n v="1.5"/>
    <m/>
    <x v="6"/>
    <n v="12.5"/>
  </r>
  <r>
    <s v="Granados, Reyneris"/>
    <s v="Gaithersburg Counter"/>
    <n v="11"/>
    <m/>
    <n v="1.5"/>
    <m/>
    <x v="6"/>
    <n v="12.5"/>
  </r>
  <r>
    <s v="Hoes, Robert"/>
    <s v="Gaithersburg Counter"/>
    <n v="11"/>
    <m/>
    <n v="1.5"/>
    <m/>
    <x v="6"/>
    <n v="12.5"/>
  </r>
  <r>
    <s v="Myers, Jonathan"/>
    <s v="Gaithersburg Counter"/>
    <n v="11"/>
    <m/>
    <n v="1.5"/>
    <m/>
    <x v="6"/>
    <n v="12.5"/>
  </r>
  <r>
    <s v="Thomas, Christopher"/>
    <s v="Gaithersburg Counter"/>
    <n v="11"/>
    <m/>
    <n v="1.5"/>
    <m/>
    <x v="6"/>
    <n v="12.5"/>
  </r>
  <r>
    <m/>
    <m/>
    <m/>
    <m/>
    <m/>
    <m/>
    <x v="1"/>
    <m/>
  </r>
  <r>
    <s v="Wallace, Eric"/>
    <s v="Executive"/>
    <n v="11"/>
    <m/>
    <n v="1.5"/>
    <m/>
    <x v="7"/>
    <n v="12.5"/>
  </r>
  <r>
    <m/>
    <m/>
    <m/>
    <m/>
    <m/>
    <m/>
    <x v="1"/>
    <m/>
  </r>
  <r>
    <s v="Green, Michael"/>
    <s v="Operations Manager"/>
    <n v="11"/>
    <m/>
    <n v="1.5"/>
    <m/>
    <x v="8"/>
    <n v="12.5"/>
  </r>
  <r>
    <m/>
    <m/>
    <m/>
    <m/>
    <m/>
    <m/>
    <x v="1"/>
    <m/>
  </r>
  <r>
    <s v="Martin, Michael"/>
    <s v="Store Support Ops Lanc"/>
    <n v="11"/>
    <m/>
    <n v="1.5"/>
    <m/>
    <x v="9"/>
    <n v="12.5"/>
  </r>
  <r>
    <m/>
    <m/>
    <m/>
    <m/>
    <m/>
    <m/>
    <x v="1"/>
    <m/>
  </r>
  <r>
    <s v="Tishman, Jonathan"/>
    <s v="Store Support Ops Gaith"/>
    <n v="11"/>
    <m/>
    <n v="1.5"/>
    <m/>
    <x v="10"/>
    <n v="12.5"/>
  </r>
  <r>
    <m/>
    <m/>
    <m/>
    <m/>
    <m/>
    <m/>
    <x v="1"/>
    <m/>
  </r>
  <r>
    <s v="Lehman, Nicholous"/>
    <s v="Tech Support"/>
    <n v="11"/>
    <m/>
    <n v="1.5"/>
    <m/>
    <x v="11"/>
    <n v="12.5"/>
  </r>
  <r>
    <m/>
    <m/>
    <m/>
    <m/>
    <m/>
    <m/>
    <x v="1"/>
    <m/>
  </r>
  <r>
    <s v="Suskin, Michael"/>
    <s v="Arbutus Outside Sales"/>
    <n v="11"/>
    <m/>
    <n v="1.5"/>
    <m/>
    <x v="12"/>
    <n v="12.5"/>
  </r>
  <r>
    <s v="Tabor, William"/>
    <s v="Arbutus Outside Sales"/>
    <n v="11"/>
    <m/>
    <n v="1.5"/>
    <m/>
    <x v="12"/>
    <n v="12.5"/>
  </r>
  <r>
    <m/>
    <m/>
    <m/>
    <m/>
    <m/>
    <m/>
    <x v="1"/>
    <m/>
  </r>
  <r>
    <s v="Schell, John"/>
    <s v="Lancaster Outside Sales"/>
    <n v="11"/>
    <m/>
    <n v="1.5"/>
    <m/>
    <x v="13"/>
    <n v="12.5"/>
  </r>
  <r>
    <m/>
    <m/>
    <m/>
    <m/>
    <m/>
    <m/>
    <x v="1"/>
    <m/>
  </r>
  <r>
    <s v="McGrath, Mark"/>
    <s v="Alexandria Outside Sales"/>
    <n v="11"/>
    <m/>
    <n v="1.5"/>
    <m/>
    <x v="14"/>
    <n v="12.5"/>
  </r>
  <r>
    <m/>
    <m/>
    <m/>
    <m/>
    <m/>
    <m/>
    <x v="1"/>
    <m/>
  </r>
  <r>
    <s v="Lutz, William"/>
    <s v="Gainesville Outside Sales"/>
    <n v="11"/>
    <m/>
    <n v="1.5"/>
    <m/>
    <x v="15"/>
    <n v="12.5"/>
  </r>
  <r>
    <m/>
    <m/>
    <m/>
    <m/>
    <m/>
    <m/>
    <x v="1"/>
    <m/>
  </r>
  <r>
    <s v="Reynolds, Lynda"/>
    <s v="Gaithersburg Outside Sales"/>
    <n v="11"/>
    <m/>
    <n v="1.5"/>
    <m/>
    <x v="16"/>
    <n v="12.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35">
  <r>
    <s v="CHWASTYK, DAVID M"/>
    <s v="Easton Counter"/>
    <x v="0"/>
    <s v="Two Adults"/>
    <n v="83.67"/>
  </r>
  <r>
    <s v="DILAN, JOHN M"/>
    <s v="Easton Counter"/>
    <x v="0"/>
    <s v="Individual"/>
    <n v="28.83"/>
  </r>
  <r>
    <s v="MACKENZIE, KATELYN E"/>
    <s v="Easton Counter"/>
    <x v="0"/>
    <s v="Individual"/>
    <n v="28.83"/>
  </r>
  <r>
    <s v="RIVERA, PAUL"/>
    <s v="Easton Counter"/>
    <x v="0"/>
    <s v="Two Adults"/>
    <n v="83.67"/>
  </r>
  <r>
    <s v="SANDERS, JEFFREY A"/>
    <s v="Easton Counter"/>
    <x v="0"/>
    <s v="Individual"/>
    <n v="28.83"/>
  </r>
  <r>
    <m/>
    <m/>
    <x v="1"/>
    <m/>
    <m/>
  </r>
  <r>
    <s v="DAVIS, NEIL C"/>
    <s v="Reading Counter"/>
    <x v="2"/>
    <s v="Individual"/>
    <n v="28.83"/>
  </r>
  <r>
    <s v="MARTIN, LISA I"/>
    <s v="Reading Counter"/>
    <x v="2"/>
    <s v="Parent and Child"/>
    <n v="83.67"/>
  </r>
  <r>
    <s v="OKONSKI, ZACHARY S"/>
    <s v="Reading Counter"/>
    <x v="2"/>
    <s v="Individual"/>
    <n v="28.83"/>
  </r>
  <r>
    <s v="ROCKWELL, MATTHEW T"/>
    <s v="Reading Counter"/>
    <x v="2"/>
    <s v="Individual"/>
    <n v="28.83"/>
  </r>
  <r>
    <m/>
    <m/>
    <x v="1"/>
    <m/>
    <m/>
  </r>
  <r>
    <s v="BAILEY, RICHARD"/>
    <s v="Harrisburg Counter"/>
    <x v="3"/>
    <s v="Individual"/>
    <n v="28.83"/>
  </r>
  <r>
    <s v="NIEVES, PASCUAL"/>
    <s v="Harrisburg Counter"/>
    <x v="3"/>
    <s v="Individual"/>
    <n v="28.83"/>
  </r>
  <r>
    <s v="SUMMERS, RYAN D"/>
    <s v="Harrisburg Counter"/>
    <x v="3"/>
    <s v="Individual"/>
    <n v="28.83"/>
  </r>
  <r>
    <s v="YOUNG, MARK D"/>
    <s v="Harrisburg Counter"/>
    <x v="3"/>
    <s v="Individual"/>
    <n v="28.83"/>
  </r>
  <r>
    <m/>
    <m/>
    <x v="1"/>
    <m/>
    <m/>
  </r>
  <r>
    <s v="ADAMKO, COURTNEY"/>
    <s v="Office"/>
    <x v="4"/>
    <s v="Individual"/>
    <n v="28.83"/>
  </r>
  <r>
    <s v="BENGEL, ALLISON M"/>
    <s v="Office"/>
    <x v="4"/>
    <s v="Individual"/>
    <n v="28.83"/>
  </r>
  <r>
    <s v="CRAWFORD, JAMIE L"/>
    <s v="Office"/>
    <x v="4"/>
    <s v="Individual"/>
    <n v="28.83"/>
  </r>
  <r>
    <s v="EBERT, MICHELLE"/>
    <m/>
    <x v="4"/>
    <s v="Family"/>
    <n v="83.67"/>
  </r>
  <r>
    <s v="HUNT, MARIANNE R"/>
    <s v="Office"/>
    <x v="4"/>
    <s v="Two Adults"/>
    <n v="83.67"/>
  </r>
  <r>
    <s v="RUTT, KAREN M"/>
    <s v="Office"/>
    <x v="4"/>
    <s v="Individual"/>
    <n v="28.83"/>
  </r>
  <r>
    <s v="VAIL, ALLISON"/>
    <s v="Office"/>
    <x v="4"/>
    <s v="Individual"/>
    <n v="28.83"/>
  </r>
  <r>
    <s v="WAGNER, JULIANNA N"/>
    <s v="Office"/>
    <x v="4"/>
    <s v="Parent and Children"/>
    <n v="83.67"/>
  </r>
  <r>
    <m/>
    <m/>
    <x v="1"/>
    <m/>
    <m/>
  </r>
  <r>
    <s v="MCKIBBIN, HELEN A"/>
    <s v="Finance"/>
    <x v="5"/>
    <s v="Individual"/>
    <n v="28.83"/>
  </r>
  <r>
    <m/>
    <m/>
    <x v="1"/>
    <m/>
    <m/>
  </r>
  <r>
    <s v="GREEN, JEFFREY E"/>
    <s v="Executive AB"/>
    <x v="6"/>
    <s v="Two Adults"/>
    <n v="83.67"/>
  </r>
  <r>
    <s v="WALLACE, CRAIG T"/>
    <s v="Executive AB"/>
    <x v="6"/>
    <s v="Family"/>
    <n v="83.67"/>
  </r>
  <r>
    <m/>
    <m/>
    <x v="1"/>
    <m/>
    <m/>
  </r>
  <r>
    <s v="ALRIGHT, SUZANNE"/>
    <s v="Store Support Ops"/>
    <x v="7"/>
    <s v="Individual"/>
    <n v="28.83"/>
  </r>
  <r>
    <m/>
    <m/>
    <x v="1"/>
    <m/>
    <m/>
  </r>
  <r>
    <s v="GREEN, BRIAN"/>
    <s v="Outside Sales Reading"/>
    <x v="8"/>
    <s v="Family"/>
    <n v="83.67"/>
  </r>
  <r>
    <m/>
    <m/>
    <x v="1"/>
    <m/>
    <m/>
  </r>
  <r>
    <s v="SNYDER, MATTHEW"/>
    <s v="Outside Sales Harrisburg"/>
    <x v="9"/>
    <s v="Family"/>
    <n v="83.67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47">
  <r>
    <s v="BAILEY, JASON"/>
    <s v="Rosedale Counter"/>
    <x v="0"/>
    <s v="Individual"/>
    <n v="28.83"/>
  </r>
  <r>
    <s v="CLOCKER, ROBERT A"/>
    <s v="Rosedale Counter"/>
    <x v="0"/>
    <s v="Individual"/>
    <n v="28.83"/>
  </r>
  <r>
    <s v="NETRO, NICHOLAS A"/>
    <s v="Rosedale Counter"/>
    <x v="0"/>
    <s v="Individual"/>
    <n v="28.83"/>
  </r>
  <r>
    <s v="RENO, LOGAN V"/>
    <s v="Rosedale Counter"/>
    <x v="0"/>
    <s v="Individual"/>
    <n v="28.83"/>
  </r>
  <r>
    <s v="WHINNERY, ANDREW J"/>
    <s v="Rosedale Counter"/>
    <x v="0"/>
    <s v="Family"/>
    <n v="83.67"/>
  </r>
  <r>
    <m/>
    <m/>
    <x v="1"/>
    <m/>
    <m/>
  </r>
  <r>
    <s v="MADDY, BERMAN C"/>
    <s v="Arbutus Counter"/>
    <x v="2"/>
    <s v="Family"/>
    <n v="83.67"/>
  </r>
  <r>
    <s v="MOHLER, GARRETT M"/>
    <s v="Arbutus Counter"/>
    <x v="2"/>
    <s v="Individual"/>
    <n v="28.83"/>
  </r>
  <r>
    <s v="SMITH, TIMOTHY L"/>
    <s v="Arbutus Counter"/>
    <x v="2"/>
    <s v="Individual"/>
    <n v="28.83"/>
  </r>
  <r>
    <m/>
    <m/>
    <x v="1"/>
    <m/>
    <m/>
  </r>
  <r>
    <s v="BRECH, MATTHEW S"/>
    <s v="Lancaster Counter"/>
    <x v="3"/>
    <s v="Family"/>
    <n v="83.67"/>
  </r>
  <r>
    <s v="FISHER, IAN J"/>
    <s v="Lancaster Counter"/>
    <x v="3"/>
    <s v="Family"/>
    <n v="83.67"/>
  </r>
  <r>
    <s v="SWEENEY, NICHOLAS T"/>
    <s v="Lancaster Counter"/>
    <x v="3"/>
    <s v="Two Adults"/>
    <n v="83.67"/>
  </r>
  <r>
    <m/>
    <m/>
    <x v="1"/>
    <m/>
    <m/>
  </r>
  <r>
    <s v="CASTRO, ELOY U"/>
    <s v="Alexandria Counter"/>
    <x v="4"/>
    <s v="Individual"/>
    <n v="28.83"/>
  </r>
  <r>
    <s v="HILL, CARLOS J"/>
    <s v="Alexandria Counter"/>
    <x v="4"/>
    <s v="Individual"/>
    <n v="28.83"/>
  </r>
  <r>
    <s v="MONTEAUX, DAVID B"/>
    <s v="Alexandria Counter"/>
    <x v="4"/>
    <s v="Individual"/>
    <n v="28.83"/>
  </r>
  <r>
    <s v="PAYNE, JACOB T"/>
    <s v="Alexandria Counter"/>
    <x v="4"/>
    <s v="Family"/>
    <n v="83.67"/>
  </r>
  <r>
    <s v="TEVALAN, JACKSON S"/>
    <s v="Alexandria Counter"/>
    <x v="4"/>
    <s v="Individual"/>
    <n v="28.83"/>
  </r>
  <r>
    <s v="WALTON, JAMES D"/>
    <s v="Alexandria Counter"/>
    <x v="4"/>
    <s v="Individual"/>
    <n v="28.83"/>
  </r>
  <r>
    <m/>
    <m/>
    <x v="1"/>
    <m/>
    <m/>
  </r>
  <r>
    <s v="DIATE, RYAN"/>
    <s v="Gainesville Counter"/>
    <x v="5"/>
    <s v="Family"/>
    <n v="83.67"/>
  </r>
  <r>
    <s v="FERNANDES, SEON C"/>
    <s v="Gainesville Counter"/>
    <x v="5"/>
    <s v="Family"/>
    <n v="83.67"/>
  </r>
  <r>
    <s v="WILLIAMS ,COREY L"/>
    <s v="Gainesville Counter"/>
    <x v="5"/>
    <s v="Family"/>
    <n v="83.67"/>
  </r>
  <r>
    <m/>
    <m/>
    <x v="1"/>
    <m/>
    <m/>
  </r>
  <r>
    <s v="BERGEN, DANIEL L"/>
    <s v="Gaithersburg Counter"/>
    <x v="6"/>
    <s v="Individual"/>
    <n v="28.83"/>
  </r>
  <r>
    <s v="GARCIA, PAOLA R"/>
    <s v="Gaithersburg Counter"/>
    <x v="6"/>
    <s v="Individual"/>
    <n v="28.83"/>
  </r>
  <r>
    <s v="GRANADOS, REYNERIS"/>
    <s v="Gaithersburg Counter"/>
    <x v="6"/>
    <s v="Individual"/>
    <n v="28.83"/>
  </r>
  <r>
    <s v="HOES, ROBERT L"/>
    <s v="Gaithersburg Counter"/>
    <x v="6"/>
    <s v="Individual"/>
    <n v="28.83"/>
  </r>
  <r>
    <s v="MYERS, JONATHAN D"/>
    <s v="Gaithersburg Counter"/>
    <x v="6"/>
    <s v="Individual"/>
    <n v="28.83"/>
  </r>
  <r>
    <m/>
    <m/>
    <x v="1"/>
    <m/>
    <m/>
  </r>
  <r>
    <s v="WALLACE, ERIC J"/>
    <s v="Executive W"/>
    <x v="7"/>
    <s v="Two Adults"/>
    <n v="83.67"/>
  </r>
  <r>
    <m/>
    <m/>
    <x v="1"/>
    <m/>
    <m/>
  </r>
  <r>
    <s v="GREEN, MICHAEL C"/>
    <s v="Operations Manager"/>
    <x v="8"/>
    <s v="Family"/>
    <n v="83.67"/>
  </r>
  <r>
    <m/>
    <m/>
    <x v="1"/>
    <m/>
    <m/>
  </r>
  <r>
    <s v="LEHMAN, NICHOLOUS W"/>
    <s v="Tech Support"/>
    <x v="9"/>
    <s v="Family"/>
    <n v="83.67"/>
  </r>
  <r>
    <m/>
    <m/>
    <x v="1"/>
    <m/>
    <m/>
  </r>
  <r>
    <s v="SUSKIN, MICHAEL H"/>
    <s v="Arbutus Outside Sales"/>
    <x v="10"/>
    <s v="Individual"/>
    <n v="28.83"/>
  </r>
  <r>
    <s v="TABOR, WILLIAM E"/>
    <s v="Arbutus Outside Sales"/>
    <x v="10"/>
    <s v="Two Adults"/>
    <n v="83.67"/>
  </r>
  <r>
    <m/>
    <m/>
    <x v="1"/>
    <m/>
    <m/>
  </r>
  <r>
    <s v="SCHELL, JOHN R"/>
    <s v="Lancaster Outside Sales"/>
    <x v="11"/>
    <s v="Family"/>
    <n v="83.67"/>
  </r>
  <r>
    <m/>
    <m/>
    <x v="1"/>
    <m/>
    <m/>
  </r>
  <r>
    <s v="MCGRATH, MARK P"/>
    <s v="Alexandria Outside Sales"/>
    <x v="12"/>
    <s v="Two Adults"/>
    <n v="83.67"/>
  </r>
  <r>
    <m/>
    <m/>
    <x v="1"/>
    <m/>
    <m/>
  </r>
  <r>
    <s v="LUTZ, WILLIAM J"/>
    <s v="Gainesville Outside Sales"/>
    <x v="13"/>
    <s v="Family"/>
    <n v="83.67"/>
  </r>
  <r>
    <m/>
    <m/>
    <x v="1"/>
    <m/>
    <m/>
  </r>
  <r>
    <s v="REYNOLDS, LYNDA T"/>
    <s v="Gaithersburg Outside Sales"/>
    <x v="14"/>
    <s v="Individual"/>
    <n v="28.8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8:B16" firstHeaderRow="1" firstDataRow="1" firstDataCol="1"/>
  <pivotFields count="5">
    <pivotField showAll="0"/>
    <pivotField showAll="0"/>
    <pivotField axis="axisRow" showAll="0">
      <items count="9">
        <item x="0"/>
        <item x="2"/>
        <item x="3"/>
        <item x="4"/>
        <item x="5"/>
        <item x="6"/>
        <item x="7"/>
        <item h="1" x="1"/>
        <item t="default"/>
      </items>
    </pivotField>
    <pivotField showAll="0"/>
    <pivotField dataField="1"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mount" fld="4" baseField="2" baseItem="0" numFmtId="44"/>
  </dataFields>
  <formats count="13">
    <format dxfId="42">
      <pivotArea outline="0" collapsedLevelsAreSubtotals="1" fieldPosition="0"/>
    </format>
    <format dxfId="41">
      <pivotArea type="all" dataOnly="0" outline="0" fieldPosition="0"/>
    </format>
    <format dxfId="40">
      <pivotArea outline="0" collapsedLevelsAreSubtotals="1" fieldPosition="0"/>
    </format>
    <format dxfId="39">
      <pivotArea field="2" type="button" dataOnly="0" labelOnly="1" outline="0" axis="axisRow" fieldPosition="0"/>
    </format>
    <format dxfId="38">
      <pivotArea dataOnly="0" labelOnly="1" outline="0" axis="axisValues" fieldPosition="0"/>
    </format>
    <format dxfId="37">
      <pivotArea dataOnly="0" labelOnly="1" fieldPosition="0">
        <references count="1">
          <reference field="2" count="0"/>
        </references>
      </pivotArea>
    </format>
    <format dxfId="36">
      <pivotArea dataOnly="0" labelOnly="1" grandRow="1" outline="0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2" type="button" dataOnly="0" labelOnly="1" outline="0" axis="axisRow" fieldPosition="0"/>
    </format>
    <format dxfId="32">
      <pivotArea dataOnly="0" labelOnly="1" outline="0" axis="axisValues" fieldPosition="0"/>
    </format>
    <format dxfId="31">
      <pivotArea dataOnly="0" labelOnly="1" fieldPosition="0">
        <references count="1">
          <reference field="2" count="0"/>
        </references>
      </pivotArea>
    </format>
    <format dxfId="3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9:B24" firstHeaderRow="1" firstDataRow="1" firstDataCol="1"/>
  <pivotFields count="5">
    <pivotField showAll="0"/>
    <pivotField showAll="0"/>
    <pivotField axis="axisRow" showAll="0">
      <items count="16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"/>
        <item t="default"/>
      </items>
    </pivotField>
    <pivotField showAll="0"/>
    <pivotField dataField="1"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Premium" fld="4" baseField="2" baseItem="0" numFmtId="44"/>
  </dataFields>
  <formats count="13">
    <format dxfId="29">
      <pivotArea outline="0" collapsedLevelsAreSubtotals="1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2" type="button" dataOnly="0" labelOnly="1" outline="0" axis="axisRow" fieldPosition="0"/>
    </format>
    <format dxfId="25">
      <pivotArea dataOnly="0" labelOnly="1" outline="0" axis="axisValues" fieldPosition="0"/>
    </format>
    <format dxfId="24">
      <pivotArea dataOnly="0" labelOnly="1" fieldPosition="0">
        <references count="1">
          <reference field="2" count="0"/>
        </references>
      </pivotArea>
    </format>
    <format dxfId="23">
      <pivotArea dataOnly="0" labelOnly="1" grandRow="1" outline="0" fieldPosition="0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2" type="button" dataOnly="0" labelOnly="1" outline="0" axis="axisRow" fieldPosition="0"/>
    </format>
    <format dxfId="19">
      <pivotArea dataOnly="0" labelOnly="1" outline="0" axis="axisValues" fieldPosition="0"/>
    </format>
    <format dxfId="18">
      <pivotArea dataOnly="0" labelOnly="1" fieldPosition="0">
        <references count="1">
          <reference field="2" count="0"/>
        </references>
      </pivotArea>
    </format>
    <format dxfId="17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8:B29" firstHeaderRow="1" firstDataRow="1" firstDataCol="1"/>
  <pivotFields count="8">
    <pivotField showAll="0"/>
    <pivotField showAll="0"/>
    <pivotField numFmtId="43" showAll="0"/>
    <pivotField numFmtId="43" showAll="0"/>
    <pivotField numFmtId="43" showAll="0"/>
    <pivotField dataField="1" numFmtId="43" showAll="0"/>
    <pivotField showAll="0"/>
    <pivotField axis="axisRow" showAll="0">
      <items count="22">
        <item x="11"/>
        <item x="6"/>
        <item x="3"/>
        <item x="2"/>
        <item x="16"/>
        <item x="8"/>
        <item x="5"/>
        <item x="7"/>
        <item x="4"/>
        <item x="0"/>
        <item x="15"/>
        <item x="10"/>
        <item x="19"/>
        <item x="1"/>
        <item x="13"/>
        <item x="9"/>
        <item x="18"/>
        <item x="17"/>
        <item x="14"/>
        <item x="12"/>
        <item h="1" x="20"/>
        <item t="default"/>
      </items>
    </pivotField>
  </pivotFields>
  <rowFields count="1">
    <field x="7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um of Total Due" fld="5" baseField="0" baseItem="0" numFmtId="44"/>
  </dataFields>
  <formats count="13">
    <format dxfId="16">
      <pivotArea type="all" dataOnly="0" outline="0" fieldPosition="0"/>
    </format>
    <format dxfId="15">
      <pivotArea outline="0" collapsedLevelsAreSubtotals="1" fieldPosition="0"/>
    </format>
    <format dxfId="14">
      <pivotArea field="7" type="button" dataOnly="0" labelOnly="1" outline="0" axis="axisRow" fieldPosition="0"/>
    </format>
    <format dxfId="13">
      <pivotArea dataOnly="0" labelOnly="1" outline="0" axis="axisValues" fieldPosition="0"/>
    </format>
    <format dxfId="12">
      <pivotArea dataOnly="0" labelOnly="1" fieldPosition="0">
        <references count="1">
          <reference field="7" count="0"/>
        </references>
      </pivotArea>
    </format>
    <format dxfId="11">
      <pivotArea dataOnly="0" labelOnly="1" grandRow="1" outline="0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field="7" type="button" dataOnly="0" labelOnly="1" outline="0" axis="axisRow" fieldPosition="0"/>
    </format>
    <format dxfId="7">
      <pivotArea dataOnly="0" labelOnly="1" outline="0" axis="axisValues" fieldPosition="0"/>
    </format>
    <format dxfId="6">
      <pivotArea dataOnly="0" labelOnly="1" fieldPosition="0">
        <references count="1">
          <reference field="7" count="0"/>
        </references>
      </pivotArea>
    </format>
    <format dxfId="5">
      <pivotArea dataOnly="0" labelOnly="1" grandRow="1" outline="0" fieldPosition="0"/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2:B24" firstHeaderRow="1" firstDataRow="1" firstDataCol="1"/>
  <pivotFields count="8">
    <pivotField showAll="0"/>
    <pivotField showAll="0"/>
    <pivotField showAll="0"/>
    <pivotField showAll="0"/>
    <pivotField showAll="0"/>
    <pivotField showAll="0"/>
    <pivotField axis="axisRow" showAll="0">
      <items count="13">
        <item x="0"/>
        <item x="2"/>
        <item x="3"/>
        <item x="4"/>
        <item x="5"/>
        <item x="6"/>
        <item x="8"/>
        <item x="7"/>
        <item x="9"/>
        <item x="10"/>
        <item x="11"/>
        <item h="1" x="1"/>
        <item t="default"/>
      </items>
    </pivotField>
    <pivotField dataField="1" showAll="0">
      <items count="4">
        <item x="1"/>
        <item x="0"/>
        <item x="2"/>
        <item t="default"/>
      </items>
    </pivotField>
  </pivotFields>
  <rowFields count="1">
    <field x="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 of Total Premium" fld="7" baseField="6" baseItem="0" numFmtId="44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0:B27" firstHeaderRow="1" firstDataRow="1" firstDataCol="1"/>
  <pivotFields count="8">
    <pivotField showAll="0"/>
    <pivotField showAll="0"/>
    <pivotField showAll="0"/>
    <pivotField showAll="0"/>
    <pivotField showAll="0"/>
    <pivotField showAll="0"/>
    <pivotField axis="axisRow" showAll="0">
      <items count="18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h="1" x="1"/>
        <item t="default"/>
      </items>
    </pivotField>
    <pivotField dataField="1" showAll="0"/>
  </pivotFields>
  <rowFields count="1">
    <field x="6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Total Premium" fld="7" baseField="6" baseItem="0" numFmtId="44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5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9:B19" firstHeaderRow="1" firstDataRow="1" firstDataCol="1"/>
  <pivotFields count="5">
    <pivotField showAll="0"/>
    <pivotField showAll="0"/>
    <pivotField axis="axisRow" showAll="0">
      <items count="11">
        <item x="0"/>
        <item x="2"/>
        <item x="3"/>
        <item x="4"/>
        <item x="5"/>
        <item x="6"/>
        <item x="7"/>
        <item x="8"/>
        <item x="9"/>
        <item h="1" x="1"/>
        <item t="default"/>
      </items>
    </pivotField>
    <pivotField showAll="0"/>
    <pivotField dataField="1"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Premium" fld="4" baseField="2" baseItem="0" numFmtId="4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7" cacheId="6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10:B25" firstHeaderRow="1" firstDataRow="1" firstDataCol="1"/>
  <pivotFields count="5">
    <pivotField showAll="0"/>
    <pivotField showAll="0"/>
    <pivotField axis="axisRow" showAll="0">
      <items count="16"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"/>
        <item t="default"/>
      </items>
    </pivotField>
    <pivotField showAll="0"/>
    <pivotField dataField="1" showAll="0"/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Premium" fld="4" baseField="2" baseItem="0" numFmtId="44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4"/>
  <sheetViews>
    <sheetView tabSelected="1" workbookViewId="0">
      <selection sqref="A1:D1"/>
    </sheetView>
  </sheetViews>
  <sheetFormatPr defaultRowHeight="15" x14ac:dyDescent="0.25"/>
  <cols>
    <col min="1" max="1" width="12.140625" bestFit="1" customWidth="1"/>
    <col min="2" max="2" width="30.42578125" bestFit="1" customWidth="1"/>
    <col min="3" max="3" width="24.28515625" customWidth="1"/>
    <col min="4" max="4" width="9" bestFit="1" customWidth="1"/>
    <col min="5" max="5" width="10.5703125" bestFit="1" customWidth="1"/>
  </cols>
  <sheetData>
    <row r="1" spans="1:9" s="1" customFormat="1" x14ac:dyDescent="0.25">
      <c r="A1" s="40" t="s">
        <v>0</v>
      </c>
      <c r="B1" s="40"/>
      <c r="C1" s="40"/>
      <c r="D1" s="40"/>
    </row>
    <row r="2" spans="1:9" s="1" customFormat="1" x14ac:dyDescent="0.25">
      <c r="A2" s="2" t="s">
        <v>1</v>
      </c>
      <c r="B2" s="3" t="s">
        <v>2</v>
      </c>
      <c r="C2" s="4" t="s">
        <v>3</v>
      </c>
      <c r="D2" s="5"/>
      <c r="E2" s="6"/>
      <c r="F2" s="7"/>
    </row>
    <row r="3" spans="1:9" s="1" customFormat="1" x14ac:dyDescent="0.25">
      <c r="A3" s="8" t="s">
        <v>4</v>
      </c>
      <c r="B3" s="3" t="s">
        <v>5</v>
      </c>
      <c r="C3" s="9" t="s">
        <v>6</v>
      </c>
      <c r="D3" s="10">
        <v>10201000</v>
      </c>
      <c r="E3" s="6"/>
    </row>
    <row r="4" spans="1:9" s="1" customFormat="1" x14ac:dyDescent="0.25">
      <c r="A4" s="2" t="s">
        <v>7</v>
      </c>
      <c r="B4" s="11">
        <v>44666</v>
      </c>
      <c r="C4" s="9" t="s">
        <v>8</v>
      </c>
      <c r="D4" s="10"/>
      <c r="E4" s="6"/>
    </row>
    <row r="5" spans="1:9" s="1" customFormat="1" x14ac:dyDescent="0.25">
      <c r="A5" s="2" t="s">
        <v>9</v>
      </c>
      <c r="B5" s="12">
        <v>123</v>
      </c>
      <c r="C5" s="2"/>
      <c r="D5" s="6"/>
      <c r="E5" s="6"/>
      <c r="G5" s="13"/>
      <c r="H5" s="13"/>
    </row>
    <row r="6" spans="1:9" s="1" customFormat="1" x14ac:dyDescent="0.25">
      <c r="A6" s="2" t="s">
        <v>10</v>
      </c>
      <c r="B6" s="14" t="s">
        <v>11</v>
      </c>
      <c r="C6" s="2"/>
      <c r="D6" s="6"/>
      <c r="E6" s="6"/>
      <c r="G6" s="13"/>
      <c r="H6" s="13"/>
    </row>
    <row r="7" spans="1:9" s="1" customFormat="1" x14ac:dyDescent="0.25">
      <c r="A7" s="15"/>
      <c r="B7" s="15"/>
      <c r="C7" s="6"/>
      <c r="D7"/>
      <c r="E7" s="13"/>
      <c r="F7" s="13"/>
      <c r="G7" s="13"/>
      <c r="H7" s="13"/>
      <c r="I7" s="13"/>
    </row>
    <row r="8" spans="1:9" x14ac:dyDescent="0.25">
      <c r="A8" s="18" t="s">
        <v>12</v>
      </c>
      <c r="B8" s="6" t="s">
        <v>13</v>
      </c>
      <c r="C8" s="6"/>
      <c r="D8" s="6"/>
      <c r="E8" s="6"/>
      <c r="F8" s="6"/>
    </row>
    <row r="9" spans="1:9" x14ac:dyDescent="0.25">
      <c r="A9" s="16" t="s">
        <v>14</v>
      </c>
      <c r="B9" s="17">
        <v>1552.68</v>
      </c>
      <c r="C9" s="6"/>
      <c r="D9" s="6">
        <v>52000100</v>
      </c>
      <c r="E9" s="24">
        <v>1552.68</v>
      </c>
      <c r="F9" s="6"/>
    </row>
    <row r="10" spans="1:9" x14ac:dyDescent="0.25">
      <c r="A10" s="16" t="s">
        <v>15</v>
      </c>
      <c r="B10" s="17">
        <v>1091.8100000000002</v>
      </c>
      <c r="C10" s="6"/>
      <c r="D10" s="6">
        <v>52000200</v>
      </c>
      <c r="E10" s="24">
        <v>1091.8100000000002</v>
      </c>
      <c r="F10" s="6"/>
    </row>
    <row r="11" spans="1:9" x14ac:dyDescent="0.25">
      <c r="A11" s="16" t="s">
        <v>16</v>
      </c>
      <c r="B11" s="17">
        <v>969.06000000000006</v>
      </c>
      <c r="C11" s="6"/>
      <c r="D11" s="6">
        <v>52000300</v>
      </c>
      <c r="E11" s="24">
        <v>969.06000000000006</v>
      </c>
      <c r="F11" s="6"/>
    </row>
    <row r="12" spans="1:9" x14ac:dyDescent="0.25">
      <c r="A12" s="16" t="s">
        <v>17</v>
      </c>
      <c r="B12" s="17">
        <v>3935.0199999999995</v>
      </c>
      <c r="C12" s="6"/>
      <c r="D12" s="6">
        <v>52010100</v>
      </c>
      <c r="E12" s="24">
        <v>3935.0199999999995</v>
      </c>
      <c r="F12" s="6"/>
    </row>
    <row r="13" spans="1:9" x14ac:dyDescent="0.25">
      <c r="A13" s="16" t="s">
        <v>18</v>
      </c>
      <c r="B13" s="17">
        <v>23.66</v>
      </c>
      <c r="C13" s="6"/>
      <c r="D13" s="6">
        <v>52030100</v>
      </c>
      <c r="E13" s="24">
        <v>23.66</v>
      </c>
      <c r="F13" s="6"/>
    </row>
    <row r="14" spans="1:9" x14ac:dyDescent="0.25">
      <c r="A14" s="16" t="s">
        <v>19</v>
      </c>
      <c r="B14" s="17">
        <v>11.83</v>
      </c>
      <c r="C14" s="6"/>
      <c r="D14" s="6">
        <v>52260200</v>
      </c>
      <c r="E14" s="24">
        <v>11.83</v>
      </c>
      <c r="F14" s="6"/>
    </row>
    <row r="15" spans="1:9" x14ac:dyDescent="0.25">
      <c r="A15" s="16" t="s">
        <v>20</v>
      </c>
      <c r="B15" s="17">
        <v>1398.1</v>
      </c>
      <c r="C15" s="6"/>
      <c r="D15" s="6">
        <v>52260300</v>
      </c>
      <c r="E15" s="24">
        <v>1398.1</v>
      </c>
      <c r="F15" s="6"/>
    </row>
    <row r="16" spans="1:9" x14ac:dyDescent="0.25">
      <c r="A16" s="16" t="s">
        <v>21</v>
      </c>
      <c r="B16" s="17">
        <v>8982.16</v>
      </c>
      <c r="C16" s="6"/>
      <c r="D16" s="6"/>
      <c r="E16" s="6"/>
      <c r="F16" s="6"/>
    </row>
    <row r="17" spans="1:6" x14ac:dyDescent="0.25">
      <c r="A17" s="6"/>
      <c r="B17" s="6"/>
      <c r="C17" s="6"/>
      <c r="D17" s="6"/>
      <c r="E17" s="6"/>
      <c r="F17" s="6"/>
    </row>
    <row r="18" spans="1:6" x14ac:dyDescent="0.25">
      <c r="A18" s="6"/>
      <c r="B18" s="6"/>
      <c r="C18" s="6"/>
      <c r="D18" s="6"/>
      <c r="E18" s="6"/>
      <c r="F18" s="6"/>
    </row>
    <row r="19" spans="1:6" x14ac:dyDescent="0.25">
      <c r="A19" s="6"/>
      <c r="B19" s="6"/>
      <c r="C19" s="6"/>
      <c r="D19" s="6"/>
      <c r="E19" s="6"/>
      <c r="F19" s="6"/>
    </row>
    <row r="20" spans="1:6" x14ac:dyDescent="0.25">
      <c r="A20" s="6"/>
      <c r="B20" s="6"/>
      <c r="C20" s="6"/>
      <c r="D20" s="6"/>
      <c r="E20" s="6"/>
      <c r="F20" s="6"/>
    </row>
    <row r="21" spans="1:6" x14ac:dyDescent="0.25">
      <c r="A21" s="6"/>
      <c r="B21" s="6"/>
      <c r="C21" s="6"/>
      <c r="D21" s="6"/>
      <c r="E21" s="6"/>
      <c r="F21" s="6"/>
    </row>
    <row r="22" spans="1:6" x14ac:dyDescent="0.25">
      <c r="A22" s="6"/>
      <c r="B22" s="6"/>
      <c r="C22" s="6"/>
      <c r="D22" s="6"/>
      <c r="E22" s="6"/>
      <c r="F22" s="6"/>
    </row>
    <row r="23" spans="1:6" x14ac:dyDescent="0.25">
      <c r="A23" s="6"/>
      <c r="B23" s="6"/>
      <c r="C23" s="6"/>
      <c r="D23" s="6"/>
      <c r="E23" s="6"/>
      <c r="F23" s="6"/>
    </row>
    <row r="24" spans="1:6" x14ac:dyDescent="0.25">
      <c r="A24" s="6"/>
      <c r="B24" s="6"/>
      <c r="C24" s="6"/>
      <c r="D24" s="6"/>
      <c r="E24" s="6"/>
      <c r="F24" s="6"/>
    </row>
  </sheetData>
  <mergeCells count="1">
    <mergeCell ref="A1:D1"/>
  </mergeCells>
  <pageMargins left="0.7" right="0.7" top="0.75" bottom="0.75" header="0.3" footer="0.3"/>
  <pageSetup orientation="portrait"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35"/>
  <sheetViews>
    <sheetView workbookViewId="0">
      <selection activeCell="F24" sqref="F24"/>
    </sheetView>
  </sheetViews>
  <sheetFormatPr defaultColWidth="36.7109375" defaultRowHeight="15" x14ac:dyDescent="0.25"/>
  <cols>
    <col min="1" max="1" width="12.140625" bestFit="1" customWidth="1"/>
    <col min="2" max="2" width="34.140625" bestFit="1" customWidth="1"/>
    <col min="3" max="3" width="17.28515625" bestFit="1" customWidth="1"/>
    <col min="4" max="4" width="9" bestFit="1" customWidth="1"/>
    <col min="8" max="8" width="36.7109375" style="32"/>
  </cols>
  <sheetData>
    <row r="1" spans="1:8" s="1" customFormat="1" x14ac:dyDescent="0.25">
      <c r="A1" s="40" t="s">
        <v>22</v>
      </c>
      <c r="B1" s="40"/>
      <c r="C1" s="40"/>
      <c r="D1" s="40"/>
      <c r="H1" s="42"/>
    </row>
    <row r="2" spans="1:8" s="1" customFormat="1" x14ac:dyDescent="0.25">
      <c r="A2" s="2" t="s">
        <v>1</v>
      </c>
      <c r="B2" s="3" t="s">
        <v>2</v>
      </c>
      <c r="C2" s="4" t="s">
        <v>3</v>
      </c>
      <c r="D2" s="5"/>
      <c r="E2" s="6"/>
      <c r="F2" s="7"/>
      <c r="H2" s="42"/>
    </row>
    <row r="3" spans="1:8" s="1" customFormat="1" x14ac:dyDescent="0.25">
      <c r="A3" s="8" t="s">
        <v>4</v>
      </c>
      <c r="B3" s="3" t="s">
        <v>23</v>
      </c>
      <c r="C3" s="9" t="s">
        <v>6</v>
      </c>
      <c r="D3" s="10">
        <v>10204000</v>
      </c>
      <c r="E3" s="6"/>
      <c r="H3" s="42"/>
    </row>
    <row r="4" spans="1:8" s="1" customFormat="1" x14ac:dyDescent="0.25">
      <c r="A4" s="2" t="s">
        <v>7</v>
      </c>
      <c r="B4" s="11">
        <v>44666</v>
      </c>
      <c r="C4" s="9" t="s">
        <v>8</v>
      </c>
      <c r="D4" s="10"/>
      <c r="E4" s="6"/>
      <c r="H4" s="42"/>
    </row>
    <row r="5" spans="1:8" s="1" customFormat="1" x14ac:dyDescent="0.25">
      <c r="A5" s="2" t="s">
        <v>9</v>
      </c>
      <c r="B5" s="12">
        <v>369</v>
      </c>
      <c r="C5" s="2"/>
      <c r="D5" s="6"/>
      <c r="E5" s="6"/>
      <c r="G5" s="13"/>
      <c r="H5" s="43"/>
    </row>
    <row r="6" spans="1:8" s="1" customFormat="1" x14ac:dyDescent="0.25">
      <c r="A6" s="2" t="s">
        <v>10</v>
      </c>
      <c r="B6" s="14" t="s">
        <v>24</v>
      </c>
      <c r="C6" s="2"/>
      <c r="D6" s="6"/>
      <c r="E6" s="6"/>
      <c r="G6" s="13"/>
      <c r="H6" s="43"/>
    </row>
    <row r="7" spans="1:8" x14ac:dyDescent="0.25"/>
    <row r="8" spans="1:8" s="6" customFormat="1" x14ac:dyDescent="0.25">
      <c r="H8" s="22"/>
    </row>
    <row r="9" spans="1:8" s="6" customFormat="1" x14ac:dyDescent="0.25">
      <c r="A9" s="18" t="s">
        <v>12</v>
      </c>
      <c r="B9" s="6" t="s">
        <v>25</v>
      </c>
      <c r="H9" s="22"/>
    </row>
    <row r="10" spans="1:8" s="6" customFormat="1" x14ac:dyDescent="0.25">
      <c r="A10" s="16" t="s">
        <v>26</v>
      </c>
      <c r="B10" s="17">
        <v>497.25000000000006</v>
      </c>
      <c r="D10" s="6" t="s">
        <v>48</v>
      </c>
      <c r="E10" s="24">
        <v>497.25000000000006</v>
      </c>
      <c r="H10" s="22"/>
    </row>
    <row r="11" spans="1:8" s="6" customFormat="1" x14ac:dyDescent="0.25">
      <c r="A11" s="16" t="s">
        <v>27</v>
      </c>
      <c r="B11" s="17">
        <v>1402.34</v>
      </c>
      <c r="D11" s="6" t="s">
        <v>49</v>
      </c>
      <c r="E11" s="24">
        <v>1402.34</v>
      </c>
      <c r="H11" s="22"/>
    </row>
    <row r="12" spans="1:8" s="6" customFormat="1" x14ac:dyDescent="0.25">
      <c r="A12" s="16" t="s">
        <v>28</v>
      </c>
      <c r="B12" s="17">
        <v>2176.7900000000004</v>
      </c>
      <c r="D12" s="6" t="s">
        <v>50</v>
      </c>
      <c r="E12" s="24">
        <v>2176.7900000000004</v>
      </c>
      <c r="H12" s="22"/>
    </row>
    <row r="13" spans="1:8" s="6" customFormat="1" x14ac:dyDescent="0.25">
      <c r="A13" s="16" t="s">
        <v>29</v>
      </c>
      <c r="B13" s="17">
        <v>504.84000000000003</v>
      </c>
      <c r="D13" s="6" t="s">
        <v>51</v>
      </c>
      <c r="E13" s="24">
        <v>504.84000000000003</v>
      </c>
      <c r="H13" s="22"/>
    </row>
    <row r="14" spans="1:8" s="6" customFormat="1" x14ac:dyDescent="0.25">
      <c r="A14" s="16" t="s">
        <v>30</v>
      </c>
      <c r="B14" s="17">
        <v>23.66</v>
      </c>
      <c r="D14" s="6" t="s">
        <v>52</v>
      </c>
      <c r="E14" s="24">
        <v>23.66</v>
      </c>
      <c r="H14" s="22"/>
    </row>
    <row r="15" spans="1:8" s="6" customFormat="1" x14ac:dyDescent="0.25">
      <c r="A15" s="16" t="s">
        <v>31</v>
      </c>
      <c r="B15" s="17">
        <v>973.30000000000007</v>
      </c>
      <c r="D15" s="6" t="s">
        <v>53</v>
      </c>
      <c r="E15" s="24">
        <v>973.30000000000007</v>
      </c>
      <c r="H15" s="22"/>
    </row>
    <row r="16" spans="1:8" s="6" customFormat="1" x14ac:dyDescent="0.25">
      <c r="A16" s="16" t="s">
        <v>32</v>
      </c>
      <c r="B16" s="17">
        <v>11.83</v>
      </c>
      <c r="D16" s="6" t="s">
        <v>58</v>
      </c>
      <c r="E16" s="24">
        <v>11.83</v>
      </c>
      <c r="H16" s="22"/>
    </row>
    <row r="17" spans="1:8" s="6" customFormat="1" x14ac:dyDescent="0.25">
      <c r="A17" s="16" t="s">
        <v>33</v>
      </c>
      <c r="B17" s="17">
        <v>1398.1</v>
      </c>
      <c r="D17" s="6" t="s">
        <v>81</v>
      </c>
      <c r="E17" s="24">
        <v>1398.1</v>
      </c>
      <c r="H17" s="22"/>
    </row>
    <row r="18" spans="1:8" s="6" customFormat="1" x14ac:dyDescent="0.25">
      <c r="A18" s="16" t="s">
        <v>34</v>
      </c>
      <c r="B18" s="17">
        <v>1398.1</v>
      </c>
      <c r="D18" s="6" t="s">
        <v>84</v>
      </c>
      <c r="E18" s="24">
        <v>1398.1</v>
      </c>
      <c r="H18" s="22"/>
    </row>
    <row r="19" spans="1:8" s="6" customFormat="1" x14ac:dyDescent="0.25">
      <c r="A19" s="16" t="s">
        <v>35</v>
      </c>
      <c r="B19" s="17">
        <v>492.12</v>
      </c>
      <c r="D19" s="6" t="s">
        <v>64</v>
      </c>
      <c r="E19" s="24">
        <v>492.12</v>
      </c>
      <c r="H19" s="22"/>
    </row>
    <row r="20" spans="1:8" s="6" customFormat="1" x14ac:dyDescent="0.25">
      <c r="A20" s="16" t="s">
        <v>36</v>
      </c>
      <c r="B20" s="17">
        <v>11.83</v>
      </c>
      <c r="D20" s="6" t="s">
        <v>65</v>
      </c>
      <c r="E20" s="24">
        <v>11.83</v>
      </c>
      <c r="H20" s="22"/>
    </row>
    <row r="21" spans="1:8" s="6" customFormat="1" x14ac:dyDescent="0.25">
      <c r="A21" s="16" t="s">
        <v>37</v>
      </c>
      <c r="B21" s="17">
        <v>11.83</v>
      </c>
      <c r="D21" s="6" t="s">
        <v>66</v>
      </c>
      <c r="E21" s="24">
        <v>11.83</v>
      </c>
      <c r="H21" s="22"/>
    </row>
    <row r="22" spans="1:8" s="6" customFormat="1" x14ac:dyDescent="0.25">
      <c r="A22" s="16" t="s">
        <v>38</v>
      </c>
      <c r="B22" s="17">
        <v>11.83</v>
      </c>
      <c r="D22" s="6" t="s">
        <v>67</v>
      </c>
      <c r="E22" s="24">
        <v>11.83</v>
      </c>
      <c r="H22" s="22"/>
    </row>
    <row r="23" spans="1:8" s="6" customFormat="1" x14ac:dyDescent="0.25">
      <c r="A23" s="16" t="s">
        <v>39</v>
      </c>
      <c r="B23" s="17">
        <v>480.29</v>
      </c>
      <c r="D23" s="6" t="s">
        <v>85</v>
      </c>
      <c r="E23" s="24">
        <v>480.29</v>
      </c>
      <c r="H23" s="22"/>
    </row>
    <row r="24" spans="1:8" s="6" customFormat="1" x14ac:dyDescent="0.25">
      <c r="A24" s="16" t="s">
        <v>21</v>
      </c>
      <c r="B24" s="17">
        <v>9394.1100000000024</v>
      </c>
      <c r="H24" s="22"/>
    </row>
    <row r="25" spans="1:8" s="6" customFormat="1" x14ac:dyDescent="0.25">
      <c r="H25" s="22"/>
    </row>
    <row r="26" spans="1:8" s="6" customFormat="1" x14ac:dyDescent="0.25">
      <c r="H26" s="22"/>
    </row>
    <row r="27" spans="1:8" s="6" customFormat="1" x14ac:dyDescent="0.25">
      <c r="H27" s="22"/>
    </row>
    <row r="28" spans="1:8" s="6" customFormat="1" x14ac:dyDescent="0.25">
      <c r="H28" s="22"/>
    </row>
    <row r="29" spans="1:8" s="6" customFormat="1" x14ac:dyDescent="0.25">
      <c r="H29" s="22"/>
    </row>
    <row r="30" spans="1:8" s="6" customFormat="1" x14ac:dyDescent="0.25">
      <c r="H30" s="22"/>
    </row>
    <row r="31" spans="1:8" s="6" customFormat="1" x14ac:dyDescent="0.25">
      <c r="H31" s="22"/>
    </row>
    <row r="32" spans="1:8" s="6" customFormat="1" x14ac:dyDescent="0.25">
      <c r="H32" s="22"/>
    </row>
    <row r="33" spans="8:8" s="6" customFormat="1" x14ac:dyDescent="0.25">
      <c r="H33" s="22"/>
    </row>
    <row r="34" spans="8:8" s="6" customFormat="1" x14ac:dyDescent="0.25">
      <c r="H34" s="22"/>
    </row>
    <row r="35" spans="8:8" s="6" customFormat="1" x14ac:dyDescent="0.25">
      <c r="H35" s="22"/>
    </row>
  </sheetData>
  <mergeCells count="1">
    <mergeCell ref="A1:D1"/>
  </mergeCells>
  <pageMargins left="0.7" right="0.7" top="0.75" bottom="0.75" header="0.3" footer="0.3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9"/>
  <sheetViews>
    <sheetView workbookViewId="0">
      <selection activeCell="F7" sqref="F7"/>
    </sheetView>
  </sheetViews>
  <sheetFormatPr defaultRowHeight="15" x14ac:dyDescent="0.25"/>
  <cols>
    <col min="1" max="1" width="13.140625" style="6" bestFit="1" customWidth="1"/>
    <col min="2" max="2" width="22.7109375" style="6" bestFit="1" customWidth="1"/>
    <col min="3" max="3" width="17.28515625" style="6" bestFit="1" customWidth="1"/>
    <col min="4" max="4" width="10.85546875" style="6" customWidth="1"/>
    <col min="5" max="5" width="9.140625" style="6"/>
    <col min="6" max="6" width="18.42578125" style="6" customWidth="1"/>
    <col min="7" max="7" width="11.7109375" style="6" bestFit="1" customWidth="1"/>
    <col min="8" max="16384" width="9.140625" style="6"/>
  </cols>
  <sheetData>
    <row r="1" spans="1:8" customFormat="1" ht="15.75" x14ac:dyDescent="0.25">
      <c r="A1" s="40" t="s">
        <v>40</v>
      </c>
      <c r="B1" s="40"/>
      <c r="C1" s="40"/>
      <c r="D1" s="40"/>
      <c r="E1" s="19"/>
    </row>
    <row r="2" spans="1:8" customFormat="1" ht="15.75" x14ac:dyDescent="0.25">
      <c r="A2" s="2" t="s">
        <v>1</v>
      </c>
      <c r="B2" s="3" t="s">
        <v>41</v>
      </c>
      <c r="C2" s="4" t="s">
        <v>3</v>
      </c>
      <c r="D2" s="5"/>
      <c r="E2" s="19"/>
      <c r="F2" s="20"/>
    </row>
    <row r="3" spans="1:8" customFormat="1" ht="15.75" x14ac:dyDescent="0.25">
      <c r="A3" s="8" t="s">
        <v>4</v>
      </c>
      <c r="B3" s="3" t="s">
        <v>42</v>
      </c>
      <c r="C3" s="9" t="s">
        <v>6</v>
      </c>
      <c r="D3" s="10">
        <v>10204000</v>
      </c>
      <c r="E3" s="19"/>
    </row>
    <row r="4" spans="1:8" customFormat="1" ht="15.75" x14ac:dyDescent="0.25">
      <c r="A4" s="2" t="s">
        <v>7</v>
      </c>
      <c r="B4" s="11">
        <v>44670</v>
      </c>
      <c r="C4" s="9" t="s">
        <v>8</v>
      </c>
      <c r="D4" s="10"/>
      <c r="E4" s="19"/>
    </row>
    <row r="5" spans="1:8" customFormat="1" ht="18" x14ac:dyDescent="0.25">
      <c r="A5" s="2" t="s">
        <v>9</v>
      </c>
      <c r="B5" s="12">
        <v>369</v>
      </c>
      <c r="C5" s="2"/>
      <c r="D5" s="6"/>
      <c r="E5" s="6"/>
      <c r="F5" s="6"/>
      <c r="G5" s="21"/>
      <c r="H5" s="21"/>
    </row>
    <row r="6" spans="1:8" customFormat="1" ht="18" x14ac:dyDescent="0.25">
      <c r="A6" s="2" t="s">
        <v>10</v>
      </c>
      <c r="B6" s="14" t="s">
        <v>43</v>
      </c>
      <c r="C6" s="2"/>
      <c r="D6" s="6"/>
      <c r="E6" s="6"/>
      <c r="F6" s="6"/>
      <c r="G6" s="21"/>
      <c r="H6" s="21"/>
    </row>
    <row r="7" spans="1:8" x14ac:dyDescent="0.25">
      <c r="F7"/>
    </row>
    <row r="8" spans="1:8" x14ac:dyDescent="0.25">
      <c r="A8" s="18" t="s">
        <v>12</v>
      </c>
      <c r="B8" s="6" t="s">
        <v>44</v>
      </c>
    </row>
    <row r="9" spans="1:8" x14ac:dyDescent="0.25">
      <c r="A9" s="16" t="s">
        <v>14</v>
      </c>
      <c r="B9" s="17">
        <v>1124.92</v>
      </c>
      <c r="E9" s="22"/>
      <c r="F9" s="23" t="s">
        <v>45</v>
      </c>
      <c r="G9" s="24">
        <v>1124.92</v>
      </c>
    </row>
    <row r="10" spans="1:8" x14ac:dyDescent="0.25">
      <c r="A10" s="16" t="s">
        <v>15</v>
      </c>
      <c r="B10" s="17">
        <v>3262.1299999999997</v>
      </c>
      <c r="E10" s="22"/>
      <c r="F10" s="23" t="s">
        <v>46</v>
      </c>
      <c r="G10" s="24">
        <v>3262.1299999999997</v>
      </c>
    </row>
    <row r="11" spans="1:8" x14ac:dyDescent="0.25">
      <c r="A11" s="16" t="s">
        <v>16</v>
      </c>
      <c r="B11" s="17">
        <v>815.64000000000021</v>
      </c>
      <c r="E11" s="22"/>
      <c r="F11" s="23" t="s">
        <v>47</v>
      </c>
      <c r="G11" s="24">
        <v>815.64000000000021</v>
      </c>
    </row>
    <row r="12" spans="1:8" x14ac:dyDescent="0.25">
      <c r="A12" s="16" t="s">
        <v>26</v>
      </c>
      <c r="B12" s="17">
        <v>1771.68</v>
      </c>
      <c r="E12" s="22"/>
      <c r="F12" s="23" t="s">
        <v>48</v>
      </c>
      <c r="G12" s="24">
        <v>1771.68</v>
      </c>
    </row>
    <row r="13" spans="1:8" x14ac:dyDescent="0.25">
      <c r="A13" s="16" t="s">
        <v>27</v>
      </c>
      <c r="B13" s="17">
        <v>562.46</v>
      </c>
      <c r="E13" s="22"/>
      <c r="F13" s="23" t="s">
        <v>49</v>
      </c>
      <c r="G13" s="24">
        <v>562.46</v>
      </c>
    </row>
    <row r="14" spans="1:8" x14ac:dyDescent="0.25">
      <c r="A14" s="16" t="s">
        <v>28</v>
      </c>
      <c r="B14" s="17">
        <v>365.53</v>
      </c>
      <c r="E14" s="22"/>
      <c r="F14" s="23" t="s">
        <v>50</v>
      </c>
      <c r="G14" s="24">
        <v>365.53</v>
      </c>
    </row>
    <row r="15" spans="1:8" x14ac:dyDescent="0.25">
      <c r="A15" s="16" t="s">
        <v>29</v>
      </c>
      <c r="B15" s="17">
        <v>2052.91</v>
      </c>
      <c r="E15" s="22"/>
      <c r="F15" s="23" t="s">
        <v>51</v>
      </c>
      <c r="G15" s="24">
        <v>2052.91</v>
      </c>
    </row>
    <row r="16" spans="1:8" x14ac:dyDescent="0.25">
      <c r="A16" s="16" t="s">
        <v>30</v>
      </c>
      <c r="B16" s="17">
        <v>4921.1799999999994</v>
      </c>
      <c r="E16" s="22"/>
      <c r="F16" s="23" t="s">
        <v>52</v>
      </c>
      <c r="G16" s="24">
        <v>4921.1799999999994</v>
      </c>
    </row>
    <row r="17" spans="1:7" x14ac:dyDescent="0.25">
      <c r="A17" s="16" t="s">
        <v>31</v>
      </c>
      <c r="B17" s="17">
        <v>843.69</v>
      </c>
      <c r="E17" s="22"/>
      <c r="F17" s="23" t="s">
        <v>53</v>
      </c>
      <c r="G17" s="24">
        <v>843.69</v>
      </c>
    </row>
    <row r="18" spans="1:7" x14ac:dyDescent="0.25">
      <c r="A18" s="16" t="s">
        <v>17</v>
      </c>
      <c r="B18" s="17">
        <v>-815.51</v>
      </c>
      <c r="E18" s="22"/>
      <c r="F18" s="23" t="s">
        <v>54</v>
      </c>
      <c r="G18" s="24">
        <v>-815.51</v>
      </c>
    </row>
    <row r="19" spans="1:7" x14ac:dyDescent="0.25">
      <c r="A19" s="16" t="s">
        <v>55</v>
      </c>
      <c r="B19" s="17">
        <v>281.23</v>
      </c>
      <c r="E19" s="22"/>
      <c r="F19" s="23" t="s">
        <v>56</v>
      </c>
      <c r="G19" s="24">
        <v>281.23</v>
      </c>
    </row>
    <row r="20" spans="1:7" x14ac:dyDescent="0.25">
      <c r="A20" s="16" t="s">
        <v>18</v>
      </c>
      <c r="B20" s="17">
        <v>1645.0900000000001</v>
      </c>
      <c r="E20" s="22"/>
      <c r="F20" s="23" t="s">
        <v>57</v>
      </c>
      <c r="G20" s="24">
        <v>1645.0900000000001</v>
      </c>
    </row>
    <row r="21" spans="1:7" x14ac:dyDescent="0.25">
      <c r="A21" s="16" t="s">
        <v>32</v>
      </c>
      <c r="B21" s="17">
        <v>717.1</v>
      </c>
      <c r="E21" s="22"/>
      <c r="F21" s="23" t="s">
        <v>58</v>
      </c>
      <c r="G21" s="24">
        <v>717.1</v>
      </c>
    </row>
    <row r="22" spans="1:7" x14ac:dyDescent="0.25">
      <c r="A22" s="16" t="s">
        <v>59</v>
      </c>
      <c r="B22" s="17">
        <v>281.23</v>
      </c>
      <c r="E22" s="22"/>
      <c r="F22" s="23" t="s">
        <v>60</v>
      </c>
      <c r="G22" s="24">
        <v>281.23</v>
      </c>
    </row>
    <row r="23" spans="1:7" x14ac:dyDescent="0.25">
      <c r="A23" s="16" t="s">
        <v>61</v>
      </c>
      <c r="B23" s="17">
        <v>281.23</v>
      </c>
      <c r="E23" s="22"/>
      <c r="F23" s="23" t="s">
        <v>62</v>
      </c>
      <c r="G23" s="24">
        <v>281.23</v>
      </c>
    </row>
    <row r="24" spans="1:7" x14ac:dyDescent="0.25">
      <c r="A24" s="16" t="s">
        <v>19</v>
      </c>
      <c r="B24" s="17">
        <v>927.99</v>
      </c>
      <c r="E24" s="22"/>
      <c r="F24" s="23" t="s">
        <v>63</v>
      </c>
      <c r="G24" s="24">
        <v>927.99</v>
      </c>
    </row>
    <row r="25" spans="1:7" x14ac:dyDescent="0.25">
      <c r="A25" s="16" t="s">
        <v>35</v>
      </c>
      <c r="B25" s="17">
        <v>717.1</v>
      </c>
      <c r="E25" s="22"/>
      <c r="F25" s="23" t="s">
        <v>64</v>
      </c>
      <c r="G25" s="24">
        <v>717.1</v>
      </c>
    </row>
    <row r="26" spans="1:7" x14ac:dyDescent="0.25">
      <c r="A26" s="16" t="s">
        <v>36</v>
      </c>
      <c r="B26" s="17">
        <v>927.99</v>
      </c>
      <c r="E26" s="22"/>
      <c r="F26" s="23" t="s">
        <v>65</v>
      </c>
      <c r="G26" s="24">
        <v>927.99</v>
      </c>
    </row>
    <row r="27" spans="1:7" x14ac:dyDescent="0.25">
      <c r="A27" s="16" t="s">
        <v>37</v>
      </c>
      <c r="B27" s="17">
        <v>717.1</v>
      </c>
      <c r="E27" s="22"/>
      <c r="F27" s="23" t="s">
        <v>66</v>
      </c>
      <c r="G27" s="24">
        <v>717.1</v>
      </c>
    </row>
    <row r="28" spans="1:7" x14ac:dyDescent="0.25">
      <c r="A28" s="16" t="s">
        <v>38</v>
      </c>
      <c r="B28" s="17">
        <v>927.99</v>
      </c>
      <c r="E28" s="22"/>
      <c r="F28" s="23" t="s">
        <v>67</v>
      </c>
      <c r="G28" s="24">
        <v>927.99</v>
      </c>
    </row>
    <row r="29" spans="1:7" x14ac:dyDescent="0.25">
      <c r="A29" s="16" t="s">
        <v>21</v>
      </c>
      <c r="B29" s="17">
        <v>22328.68</v>
      </c>
      <c r="G29" s="24"/>
    </row>
  </sheetData>
  <mergeCells count="1">
    <mergeCell ref="A1:D1"/>
  </mergeCells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24"/>
  <sheetViews>
    <sheetView workbookViewId="0">
      <selection activeCell="A2" sqref="A2"/>
    </sheetView>
  </sheetViews>
  <sheetFormatPr defaultRowHeight="15" x14ac:dyDescent="0.25"/>
  <cols>
    <col min="1" max="1" width="13.140625" bestFit="1" customWidth="1"/>
    <col min="2" max="2" width="20.85546875" customWidth="1"/>
    <col min="3" max="3" width="17.28515625" bestFit="1" customWidth="1"/>
    <col min="6" max="6" width="14.7109375" bestFit="1" customWidth="1"/>
  </cols>
  <sheetData>
    <row r="1" spans="1:8" s="1" customFormat="1" x14ac:dyDescent="0.25">
      <c r="A1" s="41" t="s">
        <v>95</v>
      </c>
      <c r="B1" s="41"/>
      <c r="C1" s="41"/>
      <c r="D1" s="41"/>
      <c r="E1" s="41"/>
    </row>
    <row r="2" spans="1:8" s="1" customFormat="1" x14ac:dyDescent="0.25">
      <c r="A2" s="2" t="s">
        <v>1</v>
      </c>
      <c r="B2" s="25" t="s">
        <v>68</v>
      </c>
      <c r="C2" s="4" t="s">
        <v>3</v>
      </c>
      <c r="D2" s="5"/>
      <c r="E2" s="26"/>
    </row>
    <row r="3" spans="1:8" s="1" customFormat="1" x14ac:dyDescent="0.25">
      <c r="A3" s="8" t="s">
        <v>4</v>
      </c>
      <c r="B3" s="26" t="s">
        <v>69</v>
      </c>
      <c r="C3" s="9" t="s">
        <v>6</v>
      </c>
      <c r="D3" s="10">
        <v>10201000</v>
      </c>
      <c r="E3" s="26"/>
    </row>
    <row r="4" spans="1:8" s="1" customFormat="1" x14ac:dyDescent="0.25">
      <c r="A4" s="2" t="s">
        <v>7</v>
      </c>
      <c r="B4" s="27">
        <v>44670</v>
      </c>
      <c r="C4" s="9" t="s">
        <v>8</v>
      </c>
      <c r="D4" s="10"/>
      <c r="E4" s="26"/>
    </row>
    <row r="5" spans="1:8" s="1" customFormat="1" x14ac:dyDescent="0.25">
      <c r="A5" s="2" t="s">
        <v>9</v>
      </c>
      <c r="B5" s="26">
        <v>123</v>
      </c>
      <c r="C5" s="26"/>
      <c r="D5" s="26"/>
      <c r="E5" s="26"/>
    </row>
    <row r="6" spans="1:8" s="1" customFormat="1" x14ac:dyDescent="0.25">
      <c r="A6" s="2" t="s">
        <v>10</v>
      </c>
      <c r="B6" s="26" t="s">
        <v>70</v>
      </c>
      <c r="C6" s="26"/>
      <c r="D6" s="26"/>
      <c r="E6" s="26"/>
    </row>
    <row r="7" spans="1:8" s="1" customFormat="1" x14ac:dyDescent="0.25">
      <c r="A7" s="28" t="s">
        <v>71</v>
      </c>
      <c r="B7" s="28"/>
      <c r="C7" s="28"/>
      <c r="D7" s="28"/>
      <c r="E7" s="13"/>
      <c r="F7" s="13"/>
      <c r="G7" s="13"/>
      <c r="H7" s="13"/>
    </row>
    <row r="8" spans="1:8" s="1" customFormat="1" x14ac:dyDescent="0.25">
      <c r="A8" s="28" t="s">
        <v>72</v>
      </c>
      <c r="B8" s="28"/>
      <c r="C8" s="29"/>
      <c r="D8" s="29"/>
      <c r="E8" s="13"/>
      <c r="F8" s="13"/>
      <c r="G8" s="13"/>
      <c r="H8" s="13"/>
    </row>
    <row r="9" spans="1:8" s="1" customFormat="1" x14ac:dyDescent="0.25">
      <c r="A9" s="29"/>
      <c r="B9" s="29"/>
      <c r="C9" s="29"/>
      <c r="D9" s="29"/>
    </row>
    <row r="11" spans="1:8" x14ac:dyDescent="0.25"/>
    <row r="12" spans="1:8" x14ac:dyDescent="0.25">
      <c r="A12" s="35" t="s">
        <v>12</v>
      </c>
      <c r="B12" t="s">
        <v>73</v>
      </c>
    </row>
    <row r="13" spans="1:8" x14ac:dyDescent="0.25">
      <c r="A13" s="30" t="s">
        <v>14</v>
      </c>
      <c r="B13" s="31">
        <v>95.63</v>
      </c>
      <c r="E13" s="32"/>
      <c r="F13" s="33" t="s">
        <v>45</v>
      </c>
      <c r="G13" s="34">
        <v>95.63</v>
      </c>
    </row>
    <row r="14" spans="1:8" x14ac:dyDescent="0.25">
      <c r="A14" s="30" t="s">
        <v>15</v>
      </c>
      <c r="B14" s="31">
        <v>87.5</v>
      </c>
      <c r="E14" s="32"/>
      <c r="F14" s="33" t="s">
        <v>46</v>
      </c>
      <c r="G14" s="34">
        <v>87.5</v>
      </c>
    </row>
    <row r="15" spans="1:8" x14ac:dyDescent="0.25">
      <c r="A15" s="30" t="s">
        <v>16</v>
      </c>
      <c r="B15" s="31">
        <v>75</v>
      </c>
      <c r="E15" s="32"/>
      <c r="F15" s="33" t="s">
        <v>47</v>
      </c>
      <c r="G15" s="34">
        <v>75</v>
      </c>
    </row>
    <row r="16" spans="1:8" x14ac:dyDescent="0.25">
      <c r="A16" s="30" t="s">
        <v>28</v>
      </c>
      <c r="B16" s="31">
        <v>12.5</v>
      </c>
      <c r="E16" s="32"/>
      <c r="F16" s="33" t="s">
        <v>50</v>
      </c>
      <c r="G16" s="34">
        <v>12.5</v>
      </c>
    </row>
    <row r="17" spans="1:7" x14ac:dyDescent="0.25">
      <c r="A17" s="30" t="s">
        <v>17</v>
      </c>
      <c r="B17" s="31">
        <v>95.63</v>
      </c>
      <c r="E17" s="32"/>
      <c r="F17" s="33" t="s">
        <v>54</v>
      </c>
      <c r="G17" s="34">
        <v>95.63</v>
      </c>
    </row>
    <row r="18" spans="1:7" x14ac:dyDescent="0.25">
      <c r="A18" s="30" t="s">
        <v>55</v>
      </c>
      <c r="B18" s="31">
        <v>12.5</v>
      </c>
      <c r="E18" s="32"/>
      <c r="F18" s="33" t="s">
        <v>56</v>
      </c>
      <c r="G18" s="34">
        <v>12.5</v>
      </c>
    </row>
    <row r="19" spans="1:7" x14ac:dyDescent="0.25">
      <c r="A19" s="30" t="s">
        <v>18</v>
      </c>
      <c r="B19" s="31">
        <v>33.130000000000003</v>
      </c>
      <c r="E19" s="32"/>
      <c r="F19" s="33" t="s">
        <v>57</v>
      </c>
      <c r="G19" s="34">
        <v>33.130000000000003</v>
      </c>
    </row>
    <row r="20" spans="1:7" x14ac:dyDescent="0.25">
      <c r="A20" s="30" t="s">
        <v>59</v>
      </c>
      <c r="B20" s="31">
        <v>12.5</v>
      </c>
      <c r="E20" s="32"/>
      <c r="F20" s="33" t="s">
        <v>60</v>
      </c>
      <c r="G20" s="34">
        <v>12.5</v>
      </c>
    </row>
    <row r="21" spans="1:7" x14ac:dyDescent="0.25">
      <c r="A21" s="30" t="s">
        <v>74</v>
      </c>
      <c r="B21" s="31">
        <v>12.5</v>
      </c>
      <c r="E21" s="32"/>
      <c r="F21" s="33" t="s">
        <v>75</v>
      </c>
      <c r="G21" s="34">
        <v>12.5</v>
      </c>
    </row>
    <row r="22" spans="1:7" x14ac:dyDescent="0.25">
      <c r="A22" s="30" t="s">
        <v>19</v>
      </c>
      <c r="B22" s="31">
        <v>12.5</v>
      </c>
      <c r="E22" s="32"/>
      <c r="F22" s="33" t="s">
        <v>63</v>
      </c>
      <c r="G22" s="34">
        <v>12.5</v>
      </c>
    </row>
    <row r="23" spans="1:7" x14ac:dyDescent="0.25">
      <c r="A23" s="30" t="s">
        <v>20</v>
      </c>
      <c r="B23" s="31">
        <v>12.5</v>
      </c>
      <c r="E23" s="32"/>
      <c r="F23" s="33" t="s">
        <v>76</v>
      </c>
      <c r="G23" s="34">
        <v>12.5</v>
      </c>
    </row>
    <row r="24" spans="1:7" x14ac:dyDescent="0.25">
      <c r="A24" s="30" t="s">
        <v>21</v>
      </c>
      <c r="B24" s="31">
        <v>461.89</v>
      </c>
    </row>
  </sheetData>
  <mergeCells count="1">
    <mergeCell ref="A1:E1"/>
  </mergeCells>
  <pageMargins left="0.7" right="0.7" top="0.75" bottom="0.75" header="0.3" footer="0.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9"/>
  <sheetViews>
    <sheetView workbookViewId="0">
      <selection sqref="A1:E1"/>
    </sheetView>
  </sheetViews>
  <sheetFormatPr defaultRowHeight="15" x14ac:dyDescent="0.25"/>
  <cols>
    <col min="1" max="1" width="13.140625" customWidth="1"/>
    <col min="2" max="2" width="23.140625" bestFit="1" customWidth="1"/>
    <col min="3" max="3" width="17.28515625" bestFit="1" customWidth="1"/>
    <col min="4" max="4" width="9" bestFit="1" customWidth="1"/>
  </cols>
  <sheetData>
    <row r="1" spans="1:9" s="1" customFormat="1" x14ac:dyDescent="0.25">
      <c r="A1" s="41" t="s">
        <v>96</v>
      </c>
      <c r="B1" s="41"/>
      <c r="C1" s="41"/>
      <c r="D1" s="41"/>
      <c r="E1" s="41"/>
    </row>
    <row r="2" spans="1:9" s="1" customFormat="1" x14ac:dyDescent="0.25">
      <c r="A2" s="2" t="s">
        <v>1</v>
      </c>
      <c r="B2" s="25" t="s">
        <v>68</v>
      </c>
      <c r="C2" s="4" t="s">
        <v>3</v>
      </c>
      <c r="D2" s="5"/>
      <c r="E2" s="26"/>
    </row>
    <row r="3" spans="1:9" s="1" customFormat="1" x14ac:dyDescent="0.25">
      <c r="A3" s="8" t="s">
        <v>4</v>
      </c>
      <c r="B3" s="26" t="s">
        <v>77</v>
      </c>
      <c r="C3" s="9" t="s">
        <v>6</v>
      </c>
      <c r="D3" s="10">
        <v>10204000</v>
      </c>
      <c r="E3" s="26"/>
    </row>
    <row r="4" spans="1:9" s="1" customFormat="1" x14ac:dyDescent="0.25">
      <c r="A4" s="2" t="s">
        <v>7</v>
      </c>
      <c r="B4" s="27">
        <v>44670</v>
      </c>
      <c r="C4" s="9" t="s">
        <v>8</v>
      </c>
      <c r="D4" s="10"/>
      <c r="E4" s="26"/>
    </row>
    <row r="5" spans="1:9" s="1" customFormat="1" x14ac:dyDescent="0.25">
      <c r="A5" s="2" t="s">
        <v>9</v>
      </c>
      <c r="B5" s="26">
        <v>369</v>
      </c>
      <c r="C5" s="26"/>
      <c r="D5" s="26"/>
      <c r="E5" s="26"/>
    </row>
    <row r="6" spans="1:9" s="1" customFormat="1" x14ac:dyDescent="0.25">
      <c r="A6" s="2" t="s">
        <v>10</v>
      </c>
      <c r="B6" s="26" t="s">
        <v>78</v>
      </c>
      <c r="C6" s="26"/>
      <c r="D6" s="26"/>
      <c r="E6" s="26"/>
    </row>
    <row r="7" spans="1:9" s="1" customFormat="1" x14ac:dyDescent="0.25">
      <c r="A7" s="29" t="s">
        <v>79</v>
      </c>
      <c r="B7" s="29"/>
      <c r="C7" s="29"/>
      <c r="D7" s="29"/>
      <c r="F7" s="13"/>
      <c r="G7" s="13"/>
      <c r="H7" s="13"/>
      <c r="I7" s="13"/>
    </row>
    <row r="8" spans="1:9" s="1" customFormat="1" x14ac:dyDescent="0.25">
      <c r="A8" s="28" t="s">
        <v>80</v>
      </c>
      <c r="B8" s="28"/>
      <c r="F8" s="13"/>
      <c r="G8" s="13"/>
      <c r="H8" s="13"/>
    </row>
    <row r="9" spans="1:9" x14ac:dyDescent="0.25"/>
    <row r="10" spans="1:9" x14ac:dyDescent="0.25">
      <c r="A10" s="35" t="s">
        <v>12</v>
      </c>
      <c r="B10" t="s">
        <v>73</v>
      </c>
    </row>
    <row r="11" spans="1:9" x14ac:dyDescent="0.25">
      <c r="A11" s="30" t="s">
        <v>26</v>
      </c>
      <c r="B11" s="31">
        <v>50</v>
      </c>
      <c r="E11" s="32"/>
      <c r="F11" t="s">
        <v>48</v>
      </c>
      <c r="G11" s="34">
        <v>50</v>
      </c>
    </row>
    <row r="12" spans="1:9" x14ac:dyDescent="0.25">
      <c r="A12" s="30" t="s">
        <v>27</v>
      </c>
      <c r="B12" s="31">
        <v>75</v>
      </c>
      <c r="E12" s="32"/>
      <c r="F12" t="s">
        <v>49</v>
      </c>
      <c r="G12" s="34">
        <v>75</v>
      </c>
    </row>
    <row r="13" spans="1:9" x14ac:dyDescent="0.25">
      <c r="A13" s="30" t="s">
        <v>28</v>
      </c>
      <c r="B13" s="31">
        <v>50</v>
      </c>
      <c r="E13" s="32"/>
      <c r="F13" t="s">
        <v>50</v>
      </c>
      <c r="G13" s="34">
        <v>50</v>
      </c>
    </row>
    <row r="14" spans="1:9" x14ac:dyDescent="0.25">
      <c r="A14" s="30" t="s">
        <v>29</v>
      </c>
      <c r="B14" s="31">
        <v>87.5</v>
      </c>
      <c r="E14" s="32"/>
      <c r="F14" t="s">
        <v>51</v>
      </c>
      <c r="G14" s="34">
        <v>87.5</v>
      </c>
    </row>
    <row r="15" spans="1:9" x14ac:dyDescent="0.25">
      <c r="A15" s="30" t="s">
        <v>30</v>
      </c>
      <c r="B15" s="31">
        <v>87.5</v>
      </c>
      <c r="E15" s="32"/>
      <c r="F15" t="s">
        <v>52</v>
      </c>
      <c r="G15" s="34">
        <v>87.5</v>
      </c>
    </row>
    <row r="16" spans="1:9" x14ac:dyDescent="0.25">
      <c r="A16" s="30" t="s">
        <v>31</v>
      </c>
      <c r="B16" s="31">
        <v>87.5</v>
      </c>
      <c r="E16" s="32"/>
      <c r="F16" t="s">
        <v>53</v>
      </c>
      <c r="G16" s="34">
        <v>87.5</v>
      </c>
    </row>
    <row r="17" spans="1:7" x14ac:dyDescent="0.25">
      <c r="A17" s="30" t="s">
        <v>32</v>
      </c>
      <c r="B17" s="31">
        <v>12.5</v>
      </c>
      <c r="E17" s="32"/>
      <c r="F17" t="s">
        <v>58</v>
      </c>
      <c r="G17" s="34">
        <v>12.5</v>
      </c>
    </row>
    <row r="18" spans="1:7" x14ac:dyDescent="0.25">
      <c r="A18" s="30" t="s">
        <v>33</v>
      </c>
      <c r="B18" s="31">
        <v>12.5</v>
      </c>
      <c r="E18" s="32"/>
      <c r="F18" t="s">
        <v>81</v>
      </c>
      <c r="G18" s="34">
        <v>12.5</v>
      </c>
    </row>
    <row r="19" spans="1:7" x14ac:dyDescent="0.25">
      <c r="A19" s="30" t="s">
        <v>61</v>
      </c>
      <c r="B19" s="31">
        <v>12.5</v>
      </c>
      <c r="E19" s="32"/>
      <c r="F19" t="s">
        <v>62</v>
      </c>
      <c r="G19" s="34">
        <v>12.5</v>
      </c>
    </row>
    <row r="20" spans="1:7" x14ac:dyDescent="0.25">
      <c r="A20" s="30" t="s">
        <v>82</v>
      </c>
      <c r="B20" s="31">
        <v>12.5</v>
      </c>
      <c r="E20" s="32"/>
      <c r="F20" t="s">
        <v>83</v>
      </c>
      <c r="G20" s="34">
        <v>12.5</v>
      </c>
    </row>
    <row r="21" spans="1:7" x14ac:dyDescent="0.25">
      <c r="A21" s="30" t="s">
        <v>34</v>
      </c>
      <c r="B21" s="31">
        <v>12.5</v>
      </c>
      <c r="E21" s="32"/>
      <c r="F21" t="s">
        <v>84</v>
      </c>
      <c r="G21" s="34">
        <v>12.5</v>
      </c>
    </row>
    <row r="22" spans="1:7" x14ac:dyDescent="0.25">
      <c r="A22" s="30" t="s">
        <v>35</v>
      </c>
      <c r="B22" s="31">
        <v>25</v>
      </c>
      <c r="E22" s="32"/>
      <c r="F22" t="s">
        <v>64</v>
      </c>
      <c r="G22" s="34">
        <v>25</v>
      </c>
    </row>
    <row r="23" spans="1:7" x14ac:dyDescent="0.25">
      <c r="A23" s="30" t="s">
        <v>36</v>
      </c>
      <c r="B23" s="31">
        <v>12.5</v>
      </c>
      <c r="E23" s="32"/>
      <c r="F23" t="s">
        <v>65</v>
      </c>
      <c r="G23" s="34">
        <v>12.5</v>
      </c>
    </row>
    <row r="24" spans="1:7" x14ac:dyDescent="0.25">
      <c r="A24" s="30" t="s">
        <v>37</v>
      </c>
      <c r="B24" s="31">
        <v>12.5</v>
      </c>
      <c r="E24" s="32"/>
      <c r="F24" t="s">
        <v>66</v>
      </c>
      <c r="G24" s="34">
        <v>12.5</v>
      </c>
    </row>
    <row r="25" spans="1:7" x14ac:dyDescent="0.25">
      <c r="A25" s="30" t="s">
        <v>38</v>
      </c>
      <c r="B25" s="31">
        <v>12.5</v>
      </c>
      <c r="E25" s="32"/>
      <c r="F25" t="s">
        <v>67</v>
      </c>
      <c r="G25" s="34">
        <v>12.5</v>
      </c>
    </row>
    <row r="26" spans="1:7" x14ac:dyDescent="0.25">
      <c r="A26" s="30" t="s">
        <v>39</v>
      </c>
      <c r="B26" s="31">
        <v>12.5</v>
      </c>
      <c r="E26" s="32"/>
      <c r="F26" t="s">
        <v>85</v>
      </c>
      <c r="G26" s="34">
        <v>12.5</v>
      </c>
    </row>
    <row r="27" spans="1:7" x14ac:dyDescent="0.25">
      <c r="A27" s="30" t="s">
        <v>21</v>
      </c>
      <c r="B27" s="31">
        <v>575</v>
      </c>
    </row>
    <row r="29" spans="1:7" x14ac:dyDescent="0.25">
      <c r="B29" s="36"/>
    </row>
  </sheetData>
  <mergeCells count="1">
    <mergeCell ref="A1:E1"/>
  </mergeCells>
  <pageMargins left="0.7" right="0.7" top="0.75" bottom="0.75" header="0.3" footer="0.3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9"/>
  <sheetViews>
    <sheetView workbookViewId="0">
      <selection activeCell="D33" sqref="D33"/>
    </sheetView>
  </sheetViews>
  <sheetFormatPr defaultRowHeight="15" x14ac:dyDescent="0.25"/>
  <cols>
    <col min="1" max="1" width="13.140625" bestFit="1" customWidth="1"/>
    <col min="2" max="2" width="26.42578125" bestFit="1" customWidth="1"/>
    <col min="3" max="3" width="17.28515625" bestFit="1" customWidth="1"/>
    <col min="4" max="4" width="9.7109375" bestFit="1" customWidth="1"/>
  </cols>
  <sheetData>
    <row r="1" spans="1:9" s="1" customFormat="1" x14ac:dyDescent="0.25">
      <c r="A1" s="40" t="s">
        <v>86</v>
      </c>
      <c r="B1" s="40"/>
      <c r="C1" s="40"/>
      <c r="D1" s="40"/>
    </row>
    <row r="2" spans="1:9" s="1" customFormat="1" x14ac:dyDescent="0.25">
      <c r="A2" s="2" t="s">
        <v>1</v>
      </c>
      <c r="B2" s="3" t="s">
        <v>87</v>
      </c>
      <c r="C2" s="4" t="s">
        <v>3</v>
      </c>
      <c r="D2" s="5"/>
      <c r="E2" s="6"/>
      <c r="F2" s="7"/>
    </row>
    <row r="3" spans="1:9" s="1" customFormat="1" x14ac:dyDescent="0.25">
      <c r="A3" s="8" t="s">
        <v>4</v>
      </c>
      <c r="B3" s="3" t="s">
        <v>88</v>
      </c>
      <c r="C3" s="9" t="s">
        <v>6</v>
      </c>
      <c r="D3" s="10">
        <v>10201000</v>
      </c>
      <c r="E3" s="6"/>
    </row>
    <row r="4" spans="1:9" s="1" customFormat="1" x14ac:dyDescent="0.25">
      <c r="A4" s="2" t="s">
        <v>7</v>
      </c>
      <c r="B4" s="11">
        <v>44659</v>
      </c>
      <c r="C4" s="9" t="s">
        <v>8</v>
      </c>
      <c r="D4" s="10"/>
      <c r="E4" s="6"/>
    </row>
    <row r="5" spans="1:9" s="1" customFormat="1" x14ac:dyDescent="0.25">
      <c r="A5" s="2" t="s">
        <v>9</v>
      </c>
      <c r="B5" s="12">
        <v>123</v>
      </c>
      <c r="C5" s="2"/>
      <c r="D5" s="6"/>
      <c r="E5" s="6"/>
      <c r="G5" s="13"/>
      <c r="H5" s="13"/>
    </row>
    <row r="6" spans="1:9" s="1" customFormat="1" x14ac:dyDescent="0.25">
      <c r="A6" s="2" t="s">
        <v>10</v>
      </c>
      <c r="B6" s="14" t="s">
        <v>89</v>
      </c>
      <c r="C6" s="2"/>
      <c r="D6" s="6"/>
      <c r="E6" s="6"/>
      <c r="G6" s="13"/>
      <c r="H6" s="13"/>
    </row>
    <row r="7" spans="1:9" s="1" customFormat="1" x14ac:dyDescent="0.25">
      <c r="A7" s="15" t="s">
        <v>90</v>
      </c>
      <c r="B7" s="15"/>
      <c r="E7" s="13"/>
      <c r="F7" s="13"/>
      <c r="G7" s="13"/>
      <c r="H7" s="13"/>
      <c r="I7" s="13"/>
    </row>
    <row r="8" spans="1:9" s="1" customFormat="1" x14ac:dyDescent="0.25">
      <c r="F8"/>
    </row>
    <row r="9" spans="1:9" x14ac:dyDescent="0.25">
      <c r="A9" s="35" t="s">
        <v>12</v>
      </c>
      <c r="B9" t="s">
        <v>25</v>
      </c>
    </row>
    <row r="10" spans="1:9" x14ac:dyDescent="0.25">
      <c r="A10" s="30" t="s">
        <v>14</v>
      </c>
      <c r="B10" s="31">
        <v>253.82999999999998</v>
      </c>
      <c r="E10" s="32"/>
      <c r="F10" t="s">
        <v>45</v>
      </c>
      <c r="G10" s="34">
        <v>253.82999999999998</v>
      </c>
    </row>
    <row r="11" spans="1:9" x14ac:dyDescent="0.25">
      <c r="A11" s="30" t="s">
        <v>15</v>
      </c>
      <c r="B11" s="31">
        <v>170.15999999999997</v>
      </c>
      <c r="E11" s="32"/>
      <c r="F11" t="s">
        <v>46</v>
      </c>
      <c r="G11" s="34">
        <v>170.15999999999997</v>
      </c>
    </row>
    <row r="12" spans="1:9" x14ac:dyDescent="0.25">
      <c r="A12" s="30" t="s">
        <v>16</v>
      </c>
      <c r="B12" s="31">
        <v>115.32</v>
      </c>
      <c r="E12" s="32"/>
      <c r="F12" t="s">
        <v>47</v>
      </c>
      <c r="G12" s="34">
        <v>115.32</v>
      </c>
    </row>
    <row r="13" spans="1:9" x14ac:dyDescent="0.25">
      <c r="A13" s="30" t="s">
        <v>17</v>
      </c>
      <c r="B13" s="31">
        <v>395.15999999999997</v>
      </c>
      <c r="E13" s="32"/>
      <c r="F13" t="s">
        <v>54</v>
      </c>
      <c r="G13" s="34">
        <v>395.15999999999997</v>
      </c>
    </row>
    <row r="14" spans="1:9" x14ac:dyDescent="0.25">
      <c r="A14" s="30" t="s">
        <v>55</v>
      </c>
      <c r="B14" s="31">
        <v>28.83</v>
      </c>
      <c r="E14" s="32"/>
      <c r="F14" t="s">
        <v>56</v>
      </c>
      <c r="G14" s="34">
        <v>28.83</v>
      </c>
    </row>
    <row r="15" spans="1:9" x14ac:dyDescent="0.25">
      <c r="A15" s="30" t="s">
        <v>18</v>
      </c>
      <c r="B15" s="31">
        <v>167.34</v>
      </c>
      <c r="E15" s="32"/>
      <c r="F15" t="s">
        <v>57</v>
      </c>
      <c r="G15" s="34">
        <v>167.34</v>
      </c>
    </row>
    <row r="16" spans="1:9" x14ac:dyDescent="0.25">
      <c r="A16" s="30" t="s">
        <v>59</v>
      </c>
      <c r="B16" s="31">
        <v>28.83</v>
      </c>
      <c r="E16" s="32"/>
      <c r="F16" t="s">
        <v>60</v>
      </c>
      <c r="G16" s="34">
        <v>28.83</v>
      </c>
    </row>
    <row r="17" spans="1:7" x14ac:dyDescent="0.25">
      <c r="A17" s="30" t="s">
        <v>19</v>
      </c>
      <c r="B17" s="31">
        <v>83.67</v>
      </c>
      <c r="E17" s="32"/>
      <c r="F17" t="s">
        <v>63</v>
      </c>
      <c r="G17" s="34">
        <v>83.67</v>
      </c>
    </row>
    <row r="18" spans="1:7" x14ac:dyDescent="0.25">
      <c r="A18" s="30" t="s">
        <v>20</v>
      </c>
      <c r="B18" s="31">
        <v>83.67</v>
      </c>
      <c r="E18" s="32"/>
      <c r="F18" t="s">
        <v>76</v>
      </c>
      <c r="G18" s="34">
        <v>83.67</v>
      </c>
    </row>
    <row r="19" spans="1:7" x14ac:dyDescent="0.25">
      <c r="A19" s="30" t="s">
        <v>21</v>
      </c>
      <c r="B19" s="31">
        <v>1326.81</v>
      </c>
    </row>
  </sheetData>
  <mergeCells count="1">
    <mergeCell ref="A1:D1"/>
  </mergeCells>
  <pageMargins left="0.7" right="0.7" top="0.75" bottom="0.75" header="0.3" footer="0.3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5"/>
  <sheetViews>
    <sheetView workbookViewId="0">
      <selection activeCell="H27" sqref="H27"/>
    </sheetView>
  </sheetViews>
  <sheetFormatPr defaultRowHeight="15" x14ac:dyDescent="0.25"/>
  <cols>
    <col min="1" max="1" width="13.140625" bestFit="1" customWidth="1"/>
    <col min="2" max="2" width="29.7109375" bestFit="1" customWidth="1"/>
    <col min="3" max="3" width="17.28515625" bestFit="1" customWidth="1"/>
    <col min="4" max="4" width="9.7109375" bestFit="1" customWidth="1"/>
  </cols>
  <sheetData>
    <row r="1" spans="1:9" s="1" customFormat="1" x14ac:dyDescent="0.25">
      <c r="A1" s="40" t="s">
        <v>91</v>
      </c>
      <c r="B1" s="40"/>
      <c r="C1" s="40"/>
      <c r="D1" s="40"/>
    </row>
    <row r="2" spans="1:9" s="1" customFormat="1" x14ac:dyDescent="0.25">
      <c r="A2" s="2" t="s">
        <v>1</v>
      </c>
      <c r="B2" s="3" t="s">
        <v>87</v>
      </c>
      <c r="C2" s="4" t="s">
        <v>3</v>
      </c>
      <c r="D2" s="5"/>
      <c r="E2" s="6"/>
      <c r="F2" s="7"/>
    </row>
    <row r="3" spans="1:9" s="1" customFormat="1" x14ac:dyDescent="0.25">
      <c r="A3" s="8" t="s">
        <v>4</v>
      </c>
      <c r="B3" s="3" t="s">
        <v>92</v>
      </c>
      <c r="C3" s="9" t="s">
        <v>6</v>
      </c>
      <c r="D3" s="10">
        <v>10204000</v>
      </c>
      <c r="E3" s="6"/>
    </row>
    <row r="4" spans="1:9" s="1" customFormat="1" x14ac:dyDescent="0.25">
      <c r="A4" s="2" t="s">
        <v>7</v>
      </c>
      <c r="B4" s="11">
        <v>44659</v>
      </c>
      <c r="C4" s="9" t="s">
        <v>8</v>
      </c>
      <c r="D4" s="10"/>
      <c r="E4" s="6"/>
    </row>
    <row r="5" spans="1:9" s="1" customFormat="1" x14ac:dyDescent="0.25">
      <c r="A5" s="2" t="s">
        <v>9</v>
      </c>
      <c r="B5" s="12">
        <v>369</v>
      </c>
      <c r="C5" s="2"/>
      <c r="D5" s="6"/>
      <c r="E5" s="6"/>
      <c r="G5" s="13"/>
      <c r="H5" s="13"/>
    </row>
    <row r="6" spans="1:9" s="1" customFormat="1" x14ac:dyDescent="0.25">
      <c r="A6" s="2" t="s">
        <v>10</v>
      </c>
      <c r="B6" s="14" t="s">
        <v>93</v>
      </c>
      <c r="C6" s="2"/>
      <c r="D6" s="6"/>
      <c r="E6" s="6"/>
      <c r="G6" s="13"/>
      <c r="H6" s="13"/>
    </row>
    <row r="7" spans="1:9" s="1" customFormat="1" ht="15.75" x14ac:dyDescent="0.25">
      <c r="A7" s="37" t="s">
        <v>94</v>
      </c>
      <c r="B7" s="37"/>
      <c r="E7" s="38"/>
      <c r="F7" s="38"/>
      <c r="G7" s="38"/>
      <c r="H7" s="39"/>
      <c r="I7" s="39"/>
    </row>
    <row r="9" spans="1:9" x14ac:dyDescent="0.25"/>
    <row r="10" spans="1:9" x14ac:dyDescent="0.25">
      <c r="A10" s="35" t="s">
        <v>12</v>
      </c>
      <c r="B10" t="s">
        <v>25</v>
      </c>
    </row>
    <row r="11" spans="1:9" x14ac:dyDescent="0.25">
      <c r="A11" s="30" t="s">
        <v>26</v>
      </c>
      <c r="B11" s="31">
        <v>198.99</v>
      </c>
      <c r="E11" s="32"/>
      <c r="F11" t="s">
        <v>48</v>
      </c>
      <c r="G11">
        <v>198.99</v>
      </c>
    </row>
    <row r="12" spans="1:9" x14ac:dyDescent="0.25">
      <c r="A12" s="30" t="s">
        <v>27</v>
      </c>
      <c r="B12" s="31">
        <v>141.32999999999998</v>
      </c>
      <c r="E12" s="32"/>
      <c r="F12" t="s">
        <v>49</v>
      </c>
      <c r="G12">
        <v>141.32999999999998</v>
      </c>
    </row>
    <row r="13" spans="1:9" x14ac:dyDescent="0.25">
      <c r="A13" s="30" t="s">
        <v>28</v>
      </c>
      <c r="B13" s="31">
        <v>251.01</v>
      </c>
      <c r="E13" s="32"/>
      <c r="F13" t="s">
        <v>50</v>
      </c>
      <c r="G13">
        <v>251.01</v>
      </c>
    </row>
    <row r="14" spans="1:9" x14ac:dyDescent="0.25">
      <c r="A14" s="30" t="s">
        <v>29</v>
      </c>
      <c r="B14" s="31">
        <v>227.82</v>
      </c>
      <c r="E14" s="32"/>
      <c r="F14" t="s">
        <v>51</v>
      </c>
      <c r="G14">
        <v>227.82</v>
      </c>
    </row>
    <row r="15" spans="1:9" x14ac:dyDescent="0.25">
      <c r="A15" s="30" t="s">
        <v>30</v>
      </c>
      <c r="B15" s="31">
        <v>251.01</v>
      </c>
      <c r="E15" s="32"/>
      <c r="F15" t="s">
        <v>52</v>
      </c>
      <c r="G15">
        <v>251.01</v>
      </c>
    </row>
    <row r="16" spans="1:9" x14ac:dyDescent="0.25">
      <c r="A16" s="30" t="s">
        <v>31</v>
      </c>
      <c r="B16" s="31">
        <v>144.14999999999998</v>
      </c>
      <c r="E16" s="32"/>
      <c r="F16" t="s">
        <v>53</v>
      </c>
      <c r="G16">
        <v>144.14999999999998</v>
      </c>
    </row>
    <row r="17" spans="1:7" x14ac:dyDescent="0.25">
      <c r="A17" s="30" t="s">
        <v>32</v>
      </c>
      <c r="B17" s="31">
        <v>83.67</v>
      </c>
      <c r="E17" s="32"/>
      <c r="F17" t="s">
        <v>58</v>
      </c>
      <c r="G17">
        <v>83.67</v>
      </c>
    </row>
    <row r="18" spans="1:7" x14ac:dyDescent="0.25">
      <c r="A18" s="30" t="s">
        <v>33</v>
      </c>
      <c r="B18" s="31">
        <v>83.67</v>
      </c>
      <c r="E18" s="32"/>
      <c r="F18" t="s">
        <v>81</v>
      </c>
      <c r="G18">
        <v>83.67</v>
      </c>
    </row>
    <row r="19" spans="1:7" x14ac:dyDescent="0.25">
      <c r="A19" s="30" t="s">
        <v>34</v>
      </c>
      <c r="B19" s="31">
        <v>83.67</v>
      </c>
      <c r="E19" s="32"/>
      <c r="F19" t="s">
        <v>84</v>
      </c>
      <c r="G19">
        <v>83.67</v>
      </c>
    </row>
    <row r="20" spans="1:7" x14ac:dyDescent="0.25">
      <c r="A20" s="30" t="s">
        <v>35</v>
      </c>
      <c r="B20" s="31">
        <v>112.5</v>
      </c>
      <c r="E20" s="32"/>
      <c r="F20" t="s">
        <v>64</v>
      </c>
      <c r="G20">
        <v>112.5</v>
      </c>
    </row>
    <row r="21" spans="1:7" x14ac:dyDescent="0.25">
      <c r="A21" s="30" t="s">
        <v>36</v>
      </c>
      <c r="B21" s="31">
        <v>83.67</v>
      </c>
      <c r="E21" s="32"/>
      <c r="F21" t="s">
        <v>65</v>
      </c>
      <c r="G21">
        <v>83.67</v>
      </c>
    </row>
    <row r="22" spans="1:7" x14ac:dyDescent="0.25">
      <c r="A22" s="30" t="s">
        <v>37</v>
      </c>
      <c r="B22" s="31">
        <v>83.67</v>
      </c>
      <c r="E22" s="32"/>
      <c r="F22" t="s">
        <v>66</v>
      </c>
      <c r="G22">
        <v>83.67</v>
      </c>
    </row>
    <row r="23" spans="1:7" x14ac:dyDescent="0.25">
      <c r="A23" s="30" t="s">
        <v>38</v>
      </c>
      <c r="B23" s="31">
        <v>83.67</v>
      </c>
      <c r="E23" s="32"/>
      <c r="F23" t="s">
        <v>67</v>
      </c>
      <c r="G23">
        <v>83.67</v>
      </c>
    </row>
    <row r="24" spans="1:7" x14ac:dyDescent="0.25">
      <c r="A24" s="30" t="s">
        <v>39</v>
      </c>
      <c r="B24" s="31">
        <v>28.83</v>
      </c>
      <c r="E24" s="32"/>
      <c r="F24" t="s">
        <v>85</v>
      </c>
      <c r="G24">
        <v>28.83</v>
      </c>
    </row>
    <row r="25" spans="1:7" x14ac:dyDescent="0.25">
      <c r="A25" s="30" t="s">
        <v>21</v>
      </c>
      <c r="B25" s="31">
        <v>1857.6600000000003</v>
      </c>
    </row>
  </sheetData>
  <mergeCells count="1">
    <mergeCell ref="A1:D1"/>
  </mergeCell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CBC AB</vt:lpstr>
      <vt:lpstr>CBC W</vt:lpstr>
      <vt:lpstr>Allied Benefits</vt:lpstr>
      <vt:lpstr>Reliance Standard AB</vt:lpstr>
      <vt:lpstr>Reliance Standard W</vt:lpstr>
      <vt:lpstr>United Concordia AB </vt:lpstr>
      <vt:lpstr>United Concordia W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 McKibbin</dc:creator>
  <cp:lastModifiedBy>Helen McKibbin</cp:lastModifiedBy>
  <dcterms:created xsi:type="dcterms:W3CDTF">2022-04-29T19:12:15Z</dcterms:created>
  <dcterms:modified xsi:type="dcterms:W3CDTF">2022-05-03T11:45:04Z</dcterms:modified>
</cp:coreProperties>
</file>